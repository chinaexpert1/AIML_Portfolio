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utna\Documents\Calculus Folder\Calculus II\Group Project 1\"/>
    </mc:Choice>
  </mc:AlternateContent>
  <bookViews>
    <workbookView xWindow="0" yWindow="0" windowWidth="21570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6" i="1"/>
  <c r="F5" i="1"/>
  <c r="G32" i="1" l="1"/>
</calcChain>
</file>

<file path=xl/sharedStrings.xml><?xml version="1.0" encoding="utf-8"?>
<sst xmlns="http://schemas.openxmlformats.org/spreadsheetml/2006/main" count="5" uniqueCount="5">
  <si>
    <t>Trapezoid</t>
  </si>
  <si>
    <t>p</t>
  </si>
  <si>
    <t>Total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</si>
  <si>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N/</t>
    </r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p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</si>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</sst>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000000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4">
    <dxf>
      <numFmt numFmtId="168" formatCode="0.0000000000E+00"/>
    </dxf>
    <dxf>
      <numFmt numFmtId="0" formatCode="General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Aerosol</a:t>
            </a:r>
            <a:r>
              <a:rPr lang="en-US" baseline="0"/>
              <a:t> Concentration over Pasadena, CA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485892388451443"/>
          <c:y val="5.5759696704578601E-2"/>
          <c:w val="0.82267957130358704"/>
          <c:h val="0.81649849324390011"/>
        </c:manualLayout>
      </c:layout>
      <c:bar3DChart>
        <c:barDir val="col"/>
        <c:grouping val="standard"/>
        <c:varyColors val="0"/>
        <c:ser>
          <c:idx val="0"/>
          <c:order val="0"/>
          <c:tx>
            <c:v>delta N/ delta p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Sheet1!$D$4:$D$31</c:f>
              <c:numCache>
                <c:formatCode>General</c:formatCode>
                <c:ptCount val="28"/>
                <c:pt idx="0">
                  <c:v>0</c:v>
                </c:pt>
                <c:pt idx="1">
                  <c:v>8.7500000000000008E-3</c:v>
                </c:pt>
                <c:pt idx="2">
                  <c:v>1.2500000000000001E-2</c:v>
                </c:pt>
                <c:pt idx="3">
                  <c:v>1.7500000000000002E-2</c:v>
                </c:pt>
                <c:pt idx="4">
                  <c:v>2.5000000000000001E-2</c:v>
                </c:pt>
                <c:pt idx="5">
                  <c:v>3.5000000000000003E-2</c:v>
                </c:pt>
                <c:pt idx="6">
                  <c:v>0.05</c:v>
                </c:pt>
                <c:pt idx="7">
                  <c:v>7.0000000000000007E-2</c:v>
                </c:pt>
                <c:pt idx="8">
                  <c:v>0.09</c:v>
                </c:pt>
                <c:pt idx="9">
                  <c:v>0.112</c:v>
                </c:pt>
                <c:pt idx="10">
                  <c:v>0.13700000000000001</c:v>
                </c:pt>
                <c:pt idx="11">
                  <c:v>0.17499999999999999</c:v>
                </c:pt>
                <c:pt idx="12">
                  <c:v>0.25</c:v>
                </c:pt>
                <c:pt idx="13">
                  <c:v>0.35</c:v>
                </c:pt>
                <c:pt idx="14">
                  <c:v>0.44</c:v>
                </c:pt>
                <c:pt idx="15">
                  <c:v>0.55000000000000004</c:v>
                </c:pt>
                <c:pt idx="16">
                  <c:v>0.66</c:v>
                </c:pt>
                <c:pt idx="17">
                  <c:v>0.77</c:v>
                </c:pt>
                <c:pt idx="18">
                  <c:v>0.88</c:v>
                </c:pt>
                <c:pt idx="19">
                  <c:v>1.05</c:v>
                </c:pt>
                <c:pt idx="20">
                  <c:v>1.27</c:v>
                </c:pt>
                <c:pt idx="21">
                  <c:v>1.48</c:v>
                </c:pt>
                <c:pt idx="22">
                  <c:v>1.82</c:v>
                </c:pt>
                <c:pt idx="23">
                  <c:v>2.2200000000000002</c:v>
                </c:pt>
                <c:pt idx="24">
                  <c:v>2.75</c:v>
                </c:pt>
                <c:pt idx="25">
                  <c:v>3.3</c:v>
                </c:pt>
                <c:pt idx="26">
                  <c:v>4.12</c:v>
                </c:pt>
                <c:pt idx="27">
                  <c:v>5.22</c:v>
                </c:pt>
              </c:numCache>
            </c:numRef>
          </c:cat>
          <c:val>
            <c:numRef>
              <c:f>Sheet1!$E$4:$E$31</c:f>
              <c:numCache>
                <c:formatCode>0.00E+00</c:formatCode>
                <c:ptCount val="28"/>
                <c:pt idx="1">
                  <c:v>15700000</c:v>
                </c:pt>
                <c:pt idx="2">
                  <c:v>5780000</c:v>
                </c:pt>
                <c:pt idx="3">
                  <c:v>2580000</c:v>
                </c:pt>
                <c:pt idx="4">
                  <c:v>1150000</c:v>
                </c:pt>
                <c:pt idx="5">
                  <c:v>601000</c:v>
                </c:pt>
                <c:pt idx="6">
                  <c:v>287000</c:v>
                </c:pt>
                <c:pt idx="7">
                  <c:v>139000</c:v>
                </c:pt>
                <c:pt idx="8">
                  <c:v>89000</c:v>
                </c:pt>
                <c:pt idx="9">
                  <c:v>70200</c:v>
                </c:pt>
                <c:pt idx="10">
                  <c:v>40300</c:v>
                </c:pt>
                <c:pt idx="11">
                  <c:v>25700</c:v>
                </c:pt>
                <c:pt idx="12">
                  <c:v>9610</c:v>
                </c:pt>
                <c:pt idx="13">
                  <c:v>2150</c:v>
                </c:pt>
                <c:pt idx="14">
                  <c:v>933</c:v>
                </c:pt>
                <c:pt idx="15">
                  <c:v>266</c:v>
                </c:pt>
                <c:pt idx="16">
                  <c:v>108</c:v>
                </c:pt>
                <c:pt idx="17">
                  <c:v>51.7</c:v>
                </c:pt>
                <c:pt idx="18">
                  <c:v>28</c:v>
                </c:pt>
                <c:pt idx="19">
                  <c:v>13.6</c:v>
                </c:pt>
                <c:pt idx="20">
                  <c:v>5.82</c:v>
                </c:pt>
                <c:pt idx="21">
                  <c:v>2.88</c:v>
                </c:pt>
                <c:pt idx="22">
                  <c:v>1.25</c:v>
                </c:pt>
                <c:pt idx="23">
                  <c:v>0.48</c:v>
                </c:pt>
                <c:pt idx="24">
                  <c:v>0.217</c:v>
                </c:pt>
                <c:pt idx="25">
                  <c:v>0.11799999999999999</c:v>
                </c:pt>
                <c:pt idx="26">
                  <c:v>6.2700000000000006E-2</c:v>
                </c:pt>
                <c:pt idx="27">
                  <c:v>3.0300000000000001E-2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9586304"/>
        <c:axId val="519585520"/>
        <c:axId val="510182208"/>
      </c:bar3DChart>
      <c:catAx>
        <c:axId val="51958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85520"/>
        <c:crosses val="autoZero"/>
        <c:auto val="1"/>
        <c:lblAlgn val="ctr"/>
        <c:lblOffset val="100"/>
        <c:noMultiLvlLbl val="0"/>
      </c:catAx>
      <c:valAx>
        <c:axId val="519585520"/>
        <c:scaling>
          <c:orientation val="minMax"/>
          <c:max val="17500000.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86304"/>
        <c:crosses val="autoZero"/>
        <c:crossBetween val="between"/>
      </c:valAx>
      <c:serAx>
        <c:axId val="510182208"/>
        <c:scaling>
          <c:orientation val="minMax"/>
        </c:scaling>
        <c:delete val="1"/>
        <c:axPos val="b"/>
        <c:majorTickMark val="none"/>
        <c:minorTickMark val="none"/>
        <c:tickLblPos val="nextTo"/>
        <c:crossAx val="51958552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319087</xdr:colOff>
      <xdr:row>10</xdr:row>
      <xdr:rowOff>57150</xdr:rowOff>
    </xdr:from>
    <xdr:to>
      <xdr:col>16</xdr:col>
      <xdr:colOff>14287</xdr:colOff>
      <xdr:row>22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D3:G32" totalsRowCount="1">
  <autoFilter ref="D3:G31"/>
  <tableColumns count="4">
    <tableColumn id="1" name="p" totalsRowLabel="Total"/>
    <tableColumn id="2" name="ΔN/Δp" dataDxfId="3"/>
    <tableColumn id="3" name="Δx" dataDxfId="1">
      <calculatedColumnFormula>Table1[[#This Row],[p]]-D2</calculatedColumnFormula>
    </tableColumn>
    <tableColumn id="4" name="Trapezoid" totalsRowFunction="sum" dataDxfId="2" totalsRowDxfId="0">
      <calculatedColumnFormula>E4*F4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G33"/>
  <sheetViews>
    <sheetView tabSelected="1" workbookViewId="0">
      <selection activeCell="G32" sqref="G32"/>
    </sheetView>
  </sheetViews>
  <sheetFormatPr defaultRowHeight="15" x14ac:dyDescent="0.25"/>
  <cols>
    <col min="4" max="4" width="6.85546875" customWidth="1"/>
    <col min="5" max="5" width="9.5703125" customWidth="1"/>
    <col min="6" max="6" width="8.7109375" customWidth="1"/>
    <col min="7" max="7" width="17.140625" customWidth="1"/>
  </cols>
  <sheetData>
    <row r="3" spans="4:7" x14ac:dyDescent="0.25">
      <c r="D3" t="s">
        <v>1</v>
      </c>
      <c r="E3" t="s">
        <v>3</v>
      </c>
      <c r="F3" t="s">
        <v>4</v>
      </c>
      <c r="G3" t="s">
        <v>0</v>
      </c>
    </row>
    <row r="4" spans="4:7" x14ac:dyDescent="0.25">
      <c r="D4">
        <v>0</v>
      </c>
      <c r="E4" s="1"/>
      <c r="F4" s="2"/>
      <c r="G4" s="1">
        <v>0</v>
      </c>
    </row>
    <row r="5" spans="4:7" x14ac:dyDescent="0.25">
      <c r="D5">
        <v>8.7500000000000008E-3</v>
      </c>
      <c r="E5" s="1">
        <v>15700000</v>
      </c>
      <c r="F5">
        <f>Table1[[#This Row],[p]]-D4</f>
        <v>8.7500000000000008E-3</v>
      </c>
      <c r="G5" s="1">
        <f>E5*F5</f>
        <v>137375</v>
      </c>
    </row>
    <row r="6" spans="4:7" x14ac:dyDescent="0.25">
      <c r="D6">
        <v>1.2500000000000001E-2</v>
      </c>
      <c r="E6" s="1">
        <v>5780000</v>
      </c>
      <c r="F6">
        <f>Table1[[#This Row],[p]]-D5</f>
        <v>3.7499999999999999E-3</v>
      </c>
      <c r="G6" s="1">
        <f t="shared" ref="G6:G30" si="0">E6*F6</f>
        <v>21675</v>
      </c>
    </row>
    <row r="7" spans="4:7" x14ac:dyDescent="0.25">
      <c r="D7">
        <v>1.7500000000000002E-2</v>
      </c>
      <c r="E7" s="1">
        <v>2580000</v>
      </c>
      <c r="F7">
        <f>Table1[[#This Row],[p]]-D6</f>
        <v>5.000000000000001E-3</v>
      </c>
      <c r="G7" s="1">
        <f t="shared" si="0"/>
        <v>12900.000000000002</v>
      </c>
    </row>
    <row r="8" spans="4:7" x14ac:dyDescent="0.25">
      <c r="D8">
        <v>2.5000000000000001E-2</v>
      </c>
      <c r="E8" s="1">
        <v>1150000</v>
      </c>
      <c r="F8">
        <f>Table1[[#This Row],[p]]-D7</f>
        <v>7.4999999999999997E-3</v>
      </c>
      <c r="G8" s="1">
        <f t="shared" si="0"/>
        <v>8625</v>
      </c>
    </row>
    <row r="9" spans="4:7" x14ac:dyDescent="0.25">
      <c r="D9">
        <v>3.5000000000000003E-2</v>
      </c>
      <c r="E9" s="1">
        <v>601000</v>
      </c>
      <c r="F9">
        <f>Table1[[#This Row],[p]]-D8</f>
        <v>1.0000000000000002E-2</v>
      </c>
      <c r="G9" s="1">
        <f t="shared" si="0"/>
        <v>6010.0000000000009</v>
      </c>
    </row>
    <row r="10" spans="4:7" x14ac:dyDescent="0.25">
      <c r="D10">
        <v>0.05</v>
      </c>
      <c r="E10" s="1">
        <v>287000</v>
      </c>
      <c r="F10">
        <f>Table1[[#This Row],[p]]-D9</f>
        <v>1.4999999999999999E-2</v>
      </c>
      <c r="G10" s="1">
        <f t="shared" si="0"/>
        <v>4305</v>
      </c>
    </row>
    <row r="11" spans="4:7" x14ac:dyDescent="0.25">
      <c r="D11">
        <v>7.0000000000000007E-2</v>
      </c>
      <c r="E11" s="1">
        <v>139000</v>
      </c>
      <c r="F11">
        <f>Table1[[#This Row],[p]]-D10</f>
        <v>2.0000000000000004E-2</v>
      </c>
      <c r="G11" s="1">
        <f t="shared" si="0"/>
        <v>2780.0000000000005</v>
      </c>
    </row>
    <row r="12" spans="4:7" x14ac:dyDescent="0.25">
      <c r="D12">
        <v>0.09</v>
      </c>
      <c r="E12" s="1">
        <v>89000</v>
      </c>
      <c r="F12">
        <f>Table1[[#This Row],[p]]-D11</f>
        <v>1.999999999999999E-2</v>
      </c>
      <c r="G12" s="1">
        <f t="shared" si="0"/>
        <v>1779.9999999999991</v>
      </c>
    </row>
    <row r="13" spans="4:7" x14ac:dyDescent="0.25">
      <c r="D13">
        <v>0.112</v>
      </c>
      <c r="E13" s="1">
        <v>70200</v>
      </c>
      <c r="F13">
        <f>Table1[[#This Row],[p]]-D12</f>
        <v>2.2000000000000006E-2</v>
      </c>
      <c r="G13" s="1">
        <f t="shared" si="0"/>
        <v>1544.4000000000003</v>
      </c>
    </row>
    <row r="14" spans="4:7" x14ac:dyDescent="0.25">
      <c r="D14">
        <v>0.13700000000000001</v>
      </c>
      <c r="E14" s="1">
        <v>40300</v>
      </c>
      <c r="F14">
        <f>Table1[[#This Row],[p]]-D13</f>
        <v>2.5000000000000008E-2</v>
      </c>
      <c r="G14" s="1">
        <f t="shared" si="0"/>
        <v>1007.5000000000003</v>
      </c>
    </row>
    <row r="15" spans="4:7" x14ac:dyDescent="0.25">
      <c r="D15">
        <v>0.17499999999999999</v>
      </c>
      <c r="E15" s="1">
        <v>25700</v>
      </c>
      <c r="F15">
        <f>Table1[[#This Row],[p]]-D14</f>
        <v>3.7999999999999978E-2</v>
      </c>
      <c r="G15" s="1">
        <f t="shared" si="0"/>
        <v>976.59999999999945</v>
      </c>
    </row>
    <row r="16" spans="4:7" x14ac:dyDescent="0.25">
      <c r="D16">
        <v>0.25</v>
      </c>
      <c r="E16" s="1">
        <v>9610</v>
      </c>
      <c r="F16">
        <f>Table1[[#This Row],[p]]-D15</f>
        <v>7.5000000000000011E-2</v>
      </c>
      <c r="G16" s="1">
        <f t="shared" si="0"/>
        <v>720.75000000000011</v>
      </c>
    </row>
    <row r="17" spans="4:7" x14ac:dyDescent="0.25">
      <c r="D17">
        <v>0.35</v>
      </c>
      <c r="E17" s="1">
        <v>2150</v>
      </c>
      <c r="F17">
        <f>Table1[[#This Row],[p]]-D16</f>
        <v>9.9999999999999978E-2</v>
      </c>
      <c r="G17" s="1">
        <f t="shared" si="0"/>
        <v>214.99999999999994</v>
      </c>
    </row>
    <row r="18" spans="4:7" x14ac:dyDescent="0.25">
      <c r="D18">
        <v>0.44</v>
      </c>
      <c r="E18" s="1">
        <v>933</v>
      </c>
      <c r="F18">
        <f>Table1[[#This Row],[p]]-D17</f>
        <v>9.0000000000000024E-2</v>
      </c>
      <c r="G18" s="1">
        <f t="shared" si="0"/>
        <v>83.970000000000027</v>
      </c>
    </row>
    <row r="19" spans="4:7" x14ac:dyDescent="0.25">
      <c r="D19">
        <v>0.55000000000000004</v>
      </c>
      <c r="E19" s="1">
        <v>266</v>
      </c>
      <c r="F19">
        <f>Table1[[#This Row],[p]]-D18</f>
        <v>0.11000000000000004</v>
      </c>
      <c r="G19" s="1">
        <f t="shared" si="0"/>
        <v>29.260000000000012</v>
      </c>
    </row>
    <row r="20" spans="4:7" x14ac:dyDescent="0.25">
      <c r="D20">
        <v>0.66</v>
      </c>
      <c r="E20" s="1">
        <v>108</v>
      </c>
      <c r="F20">
        <f>Table1[[#This Row],[p]]-D19</f>
        <v>0.10999999999999999</v>
      </c>
      <c r="G20" s="1">
        <f t="shared" si="0"/>
        <v>11.879999999999999</v>
      </c>
    </row>
    <row r="21" spans="4:7" x14ac:dyDescent="0.25">
      <c r="D21">
        <v>0.77</v>
      </c>
      <c r="E21" s="1">
        <v>51.7</v>
      </c>
      <c r="F21">
        <f>Table1[[#This Row],[p]]-D20</f>
        <v>0.10999999999999999</v>
      </c>
      <c r="G21" s="1">
        <f t="shared" si="0"/>
        <v>5.6869999999999994</v>
      </c>
    </row>
    <row r="22" spans="4:7" x14ac:dyDescent="0.25">
      <c r="D22">
        <v>0.88</v>
      </c>
      <c r="E22" s="1">
        <v>28</v>
      </c>
      <c r="F22">
        <f>Table1[[#This Row],[p]]-D21</f>
        <v>0.10999999999999999</v>
      </c>
      <c r="G22" s="1">
        <f t="shared" si="0"/>
        <v>3.0799999999999996</v>
      </c>
    </row>
    <row r="23" spans="4:7" x14ac:dyDescent="0.25">
      <c r="D23">
        <v>1.05</v>
      </c>
      <c r="E23" s="1">
        <v>13.6</v>
      </c>
      <c r="F23">
        <f>Table1[[#This Row],[p]]-D22</f>
        <v>0.17000000000000004</v>
      </c>
      <c r="G23" s="1">
        <f t="shared" si="0"/>
        <v>2.3120000000000003</v>
      </c>
    </row>
    <row r="24" spans="4:7" x14ac:dyDescent="0.25">
      <c r="D24">
        <v>1.27</v>
      </c>
      <c r="E24" s="1">
        <v>5.82</v>
      </c>
      <c r="F24">
        <f>Table1[[#This Row],[p]]-D23</f>
        <v>0.21999999999999997</v>
      </c>
      <c r="G24" s="1">
        <f t="shared" si="0"/>
        <v>1.2804</v>
      </c>
    </row>
    <row r="25" spans="4:7" x14ac:dyDescent="0.25">
      <c r="D25">
        <v>1.48</v>
      </c>
      <c r="E25" s="1">
        <v>2.88</v>
      </c>
      <c r="F25">
        <f>Table1[[#This Row],[p]]-D24</f>
        <v>0.20999999999999996</v>
      </c>
      <c r="G25" s="1">
        <f t="shared" si="0"/>
        <v>0.60479999999999989</v>
      </c>
    </row>
    <row r="26" spans="4:7" x14ac:dyDescent="0.25">
      <c r="D26">
        <v>1.82</v>
      </c>
      <c r="E26" s="1">
        <v>1.25</v>
      </c>
      <c r="F26">
        <f>Table1[[#This Row],[p]]-D25</f>
        <v>0.34000000000000008</v>
      </c>
      <c r="G26" s="1">
        <f t="shared" si="0"/>
        <v>0.4250000000000001</v>
      </c>
    </row>
    <row r="27" spans="4:7" x14ac:dyDescent="0.25">
      <c r="D27">
        <v>2.2200000000000002</v>
      </c>
      <c r="E27" s="1">
        <v>0.48</v>
      </c>
      <c r="F27">
        <f>Table1[[#This Row],[p]]-D26</f>
        <v>0.40000000000000013</v>
      </c>
      <c r="G27" s="1">
        <f t="shared" si="0"/>
        <v>0.19200000000000006</v>
      </c>
    </row>
    <row r="28" spans="4:7" x14ac:dyDescent="0.25">
      <c r="D28">
        <v>2.75</v>
      </c>
      <c r="E28" s="1">
        <v>0.217</v>
      </c>
      <c r="F28">
        <f>Table1[[#This Row],[p]]-D27</f>
        <v>0.5299999999999998</v>
      </c>
      <c r="G28" s="1">
        <f t="shared" si="0"/>
        <v>0.11500999999999996</v>
      </c>
    </row>
    <row r="29" spans="4:7" x14ac:dyDescent="0.25">
      <c r="D29">
        <v>3.3</v>
      </c>
      <c r="E29" s="1">
        <v>0.11799999999999999</v>
      </c>
      <c r="F29">
        <f>Table1[[#This Row],[p]]-D28</f>
        <v>0.54999999999999982</v>
      </c>
      <c r="G29" s="1">
        <f t="shared" si="0"/>
        <v>6.4899999999999972E-2</v>
      </c>
    </row>
    <row r="30" spans="4:7" x14ac:dyDescent="0.25">
      <c r="D30">
        <v>4.12</v>
      </c>
      <c r="E30" s="1">
        <v>6.2700000000000006E-2</v>
      </c>
      <c r="F30">
        <f>Table1[[#This Row],[p]]-D29</f>
        <v>0.82000000000000028</v>
      </c>
      <c r="G30" s="1">
        <f t="shared" si="0"/>
        <v>5.1414000000000022E-2</v>
      </c>
    </row>
    <row r="31" spans="4:7" x14ac:dyDescent="0.25">
      <c r="D31">
        <v>5.22</v>
      </c>
      <c r="E31" s="1">
        <v>3.0300000000000001E-2</v>
      </c>
      <c r="F31">
        <f>Table1[[#This Row],[p]]-D30</f>
        <v>1.0999999999999996</v>
      </c>
      <c r="G31" s="1"/>
    </row>
    <row r="32" spans="4:7" x14ac:dyDescent="0.25">
      <c r="D32" t="s">
        <v>2</v>
      </c>
      <c r="G32" s="3">
        <f>SUBTOTAL(109,Table1[Trapezoid])</f>
        <v>200053.17252399999</v>
      </c>
    </row>
    <row r="33" spans="7:7" x14ac:dyDescent="0.25">
      <c r="G33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2022-06-24T20:32:35Z</dcterms:created>
  <dcterms:modified xsi:type="dcterms:W3CDTF">2022-07-05T20:58:53Z</dcterms:modified>
</cp:coreProperties>
</file>