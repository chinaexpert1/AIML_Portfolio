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tna\Documents\Calculus I Folder\Group Project 1\"/>
    </mc:Choice>
  </mc:AlternateContent>
  <bookViews>
    <workbookView xWindow="0" yWindow="0" windowWidth="21480" windowHeight="8595"/>
  </bookViews>
  <sheets>
    <sheet name="Advanced Economies" sheetId="2" r:id="rId1"/>
    <sheet name="GenderRatios" sheetId="1" r:id="rId2"/>
  </sheets>
  <calcPr calcId="152511"/>
</workbook>
</file>

<file path=xl/calcChain.xml><?xml version="1.0" encoding="utf-8"?>
<calcChain xmlns="http://schemas.openxmlformats.org/spreadsheetml/2006/main">
  <c r="Q56" i="2" l="1"/>
  <c r="R55" i="2" s="1"/>
  <c r="Q55" i="2"/>
  <c r="Q54" i="2"/>
  <c r="R53" i="2" s="1"/>
  <c r="Q53" i="2"/>
  <c r="R52" i="2" s="1"/>
  <c r="Q52" i="2"/>
  <c r="R51" i="2" s="1"/>
  <c r="Q51" i="2"/>
  <c r="P18" i="2"/>
  <c r="Q27" i="2"/>
  <c r="Q28" i="2"/>
  <c r="R27" i="2" s="1"/>
  <c r="Q29" i="2"/>
  <c r="R28" i="2" s="1"/>
  <c r="S27" i="2" s="1"/>
  <c r="Q30" i="2"/>
  <c r="Q31" i="2"/>
  <c r="Q32" i="2"/>
  <c r="Q33" i="2"/>
  <c r="Q34" i="2"/>
  <c r="Q35" i="2"/>
  <c r="Q36" i="2"/>
  <c r="R35" i="2" s="1"/>
  <c r="Q37" i="2"/>
  <c r="R36" i="2" s="1"/>
  <c r="S35" i="2" s="1"/>
  <c r="Q38" i="2"/>
  <c r="Q39" i="2"/>
  <c r="Q40" i="2"/>
  <c r="R39" i="2" s="1"/>
  <c r="Q41" i="2"/>
  <c r="Q42" i="2"/>
  <c r="Q43" i="2"/>
  <c r="Q44" i="2"/>
  <c r="R43" i="2" s="1"/>
  <c r="Q45" i="2"/>
  <c r="R44" i="2" s="1"/>
  <c r="S43" i="2" s="1"/>
  <c r="Q46" i="2"/>
  <c r="R45" i="2" s="1"/>
  <c r="S44" i="2" s="1"/>
  <c r="Q47" i="2"/>
  <c r="Q48" i="2"/>
  <c r="Q49" i="2"/>
  <c r="Q50" i="2"/>
  <c r="Q23" i="2"/>
  <c r="Q24" i="2"/>
  <c r="Q25" i="2"/>
  <c r="R24" i="2" s="1"/>
  <c r="Q26" i="2"/>
  <c r="Q22" i="2"/>
  <c r="R23" i="2"/>
  <c r="S52" i="2" l="1"/>
  <c r="R32" i="2"/>
  <c r="R48" i="2"/>
  <c r="S23" i="2"/>
  <c r="R54" i="2"/>
  <c r="S53" i="2" s="1"/>
  <c r="S51" i="2"/>
  <c r="S50" i="2"/>
  <c r="R46" i="2"/>
  <c r="S45" i="2" s="1"/>
  <c r="R38" i="2"/>
  <c r="R30" i="2"/>
  <c r="R37" i="2"/>
  <c r="S36" i="2" s="1"/>
  <c r="R29" i="2"/>
  <c r="S28" i="2" s="1"/>
  <c r="R49" i="2"/>
  <c r="S48" i="2" s="1"/>
  <c r="R41" i="2"/>
  <c r="S40" i="2" s="1"/>
  <c r="R33" i="2"/>
  <c r="S32" i="2" s="1"/>
  <c r="S54" i="2"/>
  <c r="R40" i="2"/>
  <c r="S39" i="2" s="1"/>
  <c r="R50" i="2"/>
  <c r="R42" i="2"/>
  <c r="R34" i="2"/>
  <c r="R47" i="2"/>
  <c r="R31" i="2"/>
  <c r="S30" i="2" s="1"/>
  <c r="R25" i="2"/>
  <c r="S24" i="2" s="1"/>
  <c r="R22" i="2"/>
  <c r="S22" i="2" s="1"/>
  <c r="R26" i="2"/>
  <c r="S37" i="2" l="1"/>
  <c r="S46" i="2"/>
  <c r="S42" i="2"/>
  <c r="S41" i="2"/>
  <c r="S31" i="2"/>
  <c r="S34" i="2"/>
  <c r="S33" i="2"/>
  <c r="S49" i="2"/>
  <c r="S38" i="2"/>
  <c r="S26" i="2"/>
  <c r="S25" i="2"/>
  <c r="S29" i="2"/>
  <c r="S47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K20" i="2" s="1"/>
  <c r="C19" i="2"/>
  <c r="C20" i="2"/>
  <c r="C21" i="2"/>
  <c r="C22" i="2"/>
  <c r="C23" i="2"/>
  <c r="C24" i="2"/>
  <c r="C25" i="2"/>
  <c r="C26" i="2"/>
  <c r="K22" i="2" s="1"/>
  <c r="C27" i="2"/>
  <c r="K23" i="2" s="1"/>
  <c r="C28" i="2"/>
  <c r="C29" i="2"/>
  <c r="C30" i="2"/>
  <c r="C2" i="2"/>
  <c r="I39" i="2" s="1"/>
  <c r="K24" i="2" l="1"/>
  <c r="K21" i="2"/>
</calcChain>
</file>

<file path=xl/sharedStrings.xml><?xml version="1.0" encoding="utf-8"?>
<sst xmlns="http://schemas.openxmlformats.org/spreadsheetml/2006/main" count="254" uniqueCount="53">
  <si>
    <t>Region</t>
  </si>
  <si>
    <t>Year</t>
  </si>
  <si>
    <t>Ratios</t>
  </si>
  <si>
    <t>Advanced Economies</t>
  </si>
  <si>
    <t>Asia and the Pacific</t>
  </si>
  <si>
    <t>Eastern Europe</t>
  </si>
  <si>
    <t>Latin America and the Caribbean</t>
  </si>
  <si>
    <t>Middle East and North Africa</t>
  </si>
  <si>
    <t>Sub-Saharan Africa</t>
  </si>
  <si>
    <t>newYear</t>
  </si>
  <si>
    <t>Quadratic Fit to Data</t>
  </si>
  <si>
    <t>x^2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</si>
  <si>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</si>
  <si>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</si>
  <si>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</si>
  <si>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</si>
  <si>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</si>
  <si>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</si>
  <si>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</si>
  <si>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</si>
  <si>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</si>
  <si>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</si>
  <si>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</si>
  <si>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</si>
  <si>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</si>
  <si>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</si>
  <si>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</si>
  <si>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</si>
  <si>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</si>
  <si>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</si>
  <si>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</si>
  <si>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</si>
  <si>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</si>
  <si>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</si>
  <si>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</si>
  <si>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</si>
  <si>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 = -0.00157x^2+0.394119x+73.07723</t>
  </si>
  <si>
    <t>Tangent Slope at x = 120</t>
  </si>
  <si>
    <t>Tangent Line at x = 120 (1990)</t>
  </si>
  <si>
    <t>y = 0.1426x + 79.779</t>
  </si>
  <si>
    <t>Avg ROC from 1900 to 1950</t>
  </si>
  <si>
    <t>FORMULAS AND FINDINGS</t>
  </si>
  <si>
    <t>Avg ROC from 1950 to 2010</t>
  </si>
  <si>
    <t>Avg ROC from 1985 to 1990</t>
  </si>
  <si>
    <t>Avg ROC from 1990 to 1995</t>
  </si>
  <si>
    <t>Instantaneous ROC of 1990</t>
  </si>
  <si>
    <t xml:space="preserve"> Years since 1870</t>
  </si>
  <si>
    <t>Best Fit</t>
  </si>
  <si>
    <t>Derivative</t>
  </si>
  <si>
    <t>CALCULATING DERIVATIVE AT 1990</t>
  </si>
  <si>
    <t>PREDICTION FOR 2020</t>
  </si>
  <si>
    <t>Gender Ratios</t>
  </si>
  <si>
    <t>Second Derivative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</si>
</sst>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Ratios for Advanced Economies in Years Post-1870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poly"/>
            <c:order val="2"/>
            <c:forward val="10"/>
            <c:dispRSqr val="0"/>
            <c:dispEq val="1"/>
            <c:trendlineLbl>
              <c:layout>
                <c:manualLayout>
                  <c:x val="8.3106177992811142E-2"/>
                  <c:y val="9.56565656565656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'Advanced Economies'!$C$2:$C$30</c:f>
              <c:numCache>
                <c:formatCode>General</c:formatCode>
                <c:ptCount val="2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</c:numCache>
            </c:numRef>
          </c:xVal>
          <c:yVal>
            <c:numRef>
              <c:f>'Advanced Economies'!$D$2:$D$30</c:f>
              <c:numCache>
                <c:formatCode>General</c:formatCode>
                <c:ptCount val="29"/>
                <c:pt idx="0">
                  <c:v>74.457599999999999</c:v>
                </c:pt>
                <c:pt idx="1">
                  <c:v>76.920460000000006</c:v>
                </c:pt>
                <c:pt idx="2">
                  <c:v>74.929670000000002</c:v>
                </c:pt>
                <c:pt idx="3">
                  <c:v>78.566500000000005</c:v>
                </c:pt>
                <c:pt idx="4">
                  <c:v>77.196749999999994</c:v>
                </c:pt>
                <c:pt idx="5">
                  <c:v>81.500230000000002</c:v>
                </c:pt>
                <c:pt idx="6">
                  <c:v>82.893119999999996</c:v>
                </c:pt>
                <c:pt idx="7">
                  <c:v>83.960790000000003</c:v>
                </c:pt>
                <c:pt idx="8">
                  <c:v>84.390230000000003</c:v>
                </c:pt>
                <c:pt idx="9">
                  <c:v>86.221119999999999</c:v>
                </c:pt>
                <c:pt idx="10">
                  <c:v>89.545689999999993</c:v>
                </c:pt>
                <c:pt idx="11">
                  <c:v>92.391679999999994</c:v>
                </c:pt>
                <c:pt idx="12">
                  <c:v>94.654259999999994</c:v>
                </c:pt>
                <c:pt idx="13">
                  <c:v>95.202060000000003</c:v>
                </c:pt>
                <c:pt idx="14">
                  <c:v>96.377859999999998</c:v>
                </c:pt>
                <c:pt idx="15">
                  <c:v>96.730609999999999</c:v>
                </c:pt>
                <c:pt idx="16">
                  <c:v>94.20608</c:v>
                </c:pt>
                <c:pt idx="17">
                  <c:v>94.045940000000002</c:v>
                </c:pt>
                <c:pt idx="18">
                  <c:v>94.78143</c:v>
                </c:pt>
                <c:pt idx="19">
                  <c:v>94.785780000000003</c:v>
                </c:pt>
                <c:pt idx="20">
                  <c:v>94.684569999999994</c:v>
                </c:pt>
                <c:pt idx="21">
                  <c:v>94.275959999999998</c:v>
                </c:pt>
                <c:pt idx="22">
                  <c:v>95.030150000000006</c:v>
                </c:pt>
                <c:pt idx="23">
                  <c:v>96.56259</c:v>
                </c:pt>
                <c:pt idx="24">
                  <c:v>96.989890000000003</c:v>
                </c:pt>
                <c:pt idx="25">
                  <c:v>97.154690000000002</c:v>
                </c:pt>
                <c:pt idx="26">
                  <c:v>98.075720000000004</c:v>
                </c:pt>
                <c:pt idx="27">
                  <c:v>99.220680000000002</c:v>
                </c:pt>
                <c:pt idx="28">
                  <c:v>99.998580000000004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555432"/>
        <c:axId val="512554256"/>
      </c:scatterChart>
      <c:valAx>
        <c:axId val="512555432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554256"/>
        <c:crosses val="autoZero"/>
        <c:crossBetween val="midCat"/>
      </c:valAx>
      <c:valAx>
        <c:axId val="512554256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555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Tangent Line at x = 120 (1990)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0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'Advanced Economies'!$C$22:$C$30</c:f>
              <c:numCache>
                <c:formatCode>General</c:formatCode>
                <c:ptCount val="9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  <c:pt idx="8">
                  <c:v>140</c:v>
                </c:pt>
              </c:numCache>
            </c:numRef>
          </c:xVal>
          <c:yVal>
            <c:numRef>
              <c:f>'Advanced Economies'!$D$22:$D$30</c:f>
              <c:numCache>
                <c:formatCode>General</c:formatCode>
                <c:ptCount val="9"/>
                <c:pt idx="0">
                  <c:v>94.684569999999994</c:v>
                </c:pt>
                <c:pt idx="1">
                  <c:v>94.275959999999998</c:v>
                </c:pt>
                <c:pt idx="2">
                  <c:v>95.030150000000006</c:v>
                </c:pt>
                <c:pt idx="3">
                  <c:v>96.56259</c:v>
                </c:pt>
                <c:pt idx="4">
                  <c:v>96.989890000000003</c:v>
                </c:pt>
                <c:pt idx="5">
                  <c:v>97.154690000000002</c:v>
                </c:pt>
                <c:pt idx="6">
                  <c:v>98.075720000000004</c:v>
                </c:pt>
                <c:pt idx="7">
                  <c:v>99.220680000000002</c:v>
                </c:pt>
                <c:pt idx="8">
                  <c:v>99.998580000000004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755472"/>
        <c:axId val="295755080"/>
      </c:scatterChart>
      <c:valAx>
        <c:axId val="295755472"/>
        <c:scaling>
          <c:orientation val="minMax"/>
          <c:max val="155"/>
          <c:min val="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55080"/>
        <c:crosses val="autoZero"/>
        <c:crossBetween val="midCat"/>
      </c:valAx>
      <c:valAx>
        <c:axId val="295755080"/>
        <c:scaling>
          <c:orientation val="minMax"/>
          <c:max val="1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5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19049</xdr:rowOff>
    </xdr:from>
    <xdr:to>
      <xdr:col>12</xdr:col>
      <xdr:colOff>476251</xdr:colOff>
      <xdr:row>14</xdr:row>
      <xdr:rowOff>57149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21</xdr:col>
      <xdr:colOff>119062</xdr:colOff>
      <xdr:row>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abSelected="1" topLeftCell="B1" zoomScaleNormal="100" workbookViewId="0">
      <selection activeCell="O22" sqref="O22"/>
    </sheetView>
  </sheetViews>
  <sheetFormatPr defaultRowHeight="15" x14ac:dyDescent="0.25"/>
  <cols>
    <col min="2" max="2" width="12" bestFit="1" customWidth="1"/>
    <col min="6" max="6" width="14.140625" customWidth="1"/>
    <col min="16" max="16" width="13.7109375" customWidth="1"/>
    <col min="20" max="20" width="20.5703125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51</v>
      </c>
    </row>
    <row r="2" spans="1:4" x14ac:dyDescent="0.25">
      <c r="A2" t="s">
        <v>3</v>
      </c>
      <c r="B2">
        <v>1870</v>
      </c>
      <c r="C2">
        <f>B2-$B$2</f>
        <v>0</v>
      </c>
      <c r="D2">
        <v>74.457599999999999</v>
      </c>
    </row>
    <row r="3" spans="1:4" x14ac:dyDescent="0.25">
      <c r="A3" t="s">
        <v>3</v>
      </c>
      <c r="B3">
        <v>1875</v>
      </c>
      <c r="C3">
        <f>B3-$B$2</f>
        <v>5</v>
      </c>
      <c r="D3">
        <v>76.920460000000006</v>
      </c>
    </row>
    <row r="4" spans="1:4" x14ac:dyDescent="0.25">
      <c r="A4" t="s">
        <v>3</v>
      </c>
      <c r="B4">
        <v>1880</v>
      </c>
      <c r="C4">
        <f>B4-$B$2</f>
        <v>10</v>
      </c>
      <c r="D4">
        <v>74.929670000000002</v>
      </c>
    </row>
    <row r="5" spans="1:4" x14ac:dyDescent="0.25">
      <c r="A5" t="s">
        <v>3</v>
      </c>
      <c r="B5">
        <v>1885</v>
      </c>
      <c r="C5">
        <f>B5-$B$2</f>
        <v>15</v>
      </c>
      <c r="D5">
        <v>78.566500000000005</v>
      </c>
    </row>
    <row r="6" spans="1:4" x14ac:dyDescent="0.25">
      <c r="A6" t="s">
        <v>3</v>
      </c>
      <c r="B6">
        <v>1890</v>
      </c>
      <c r="C6">
        <f>B6-$B$2</f>
        <v>20</v>
      </c>
      <c r="D6">
        <v>77.196749999999994</v>
      </c>
    </row>
    <row r="7" spans="1:4" x14ac:dyDescent="0.25">
      <c r="A7" t="s">
        <v>3</v>
      </c>
      <c r="B7">
        <v>1895</v>
      </c>
      <c r="C7">
        <f>B7-$B$2</f>
        <v>25</v>
      </c>
      <c r="D7">
        <v>81.500230000000002</v>
      </c>
    </row>
    <row r="8" spans="1:4" x14ac:dyDescent="0.25">
      <c r="A8" t="s">
        <v>3</v>
      </c>
      <c r="B8">
        <v>1900</v>
      </c>
      <c r="C8">
        <f>B8-$B$2</f>
        <v>30</v>
      </c>
      <c r="D8">
        <v>82.893119999999996</v>
      </c>
    </row>
    <row r="9" spans="1:4" x14ac:dyDescent="0.25">
      <c r="A9" t="s">
        <v>3</v>
      </c>
      <c r="B9">
        <v>1905</v>
      </c>
      <c r="C9">
        <f>B9-$B$2</f>
        <v>35</v>
      </c>
      <c r="D9">
        <v>83.960790000000003</v>
      </c>
    </row>
    <row r="10" spans="1:4" x14ac:dyDescent="0.25">
      <c r="A10" t="s">
        <v>3</v>
      </c>
      <c r="B10">
        <v>1910</v>
      </c>
      <c r="C10">
        <f>B10-$B$2</f>
        <v>40</v>
      </c>
      <c r="D10">
        <v>84.390230000000003</v>
      </c>
    </row>
    <row r="11" spans="1:4" x14ac:dyDescent="0.25">
      <c r="A11" t="s">
        <v>3</v>
      </c>
      <c r="B11">
        <v>1915</v>
      </c>
      <c r="C11">
        <f>B11-$B$2</f>
        <v>45</v>
      </c>
      <c r="D11">
        <v>86.221119999999999</v>
      </c>
    </row>
    <row r="12" spans="1:4" x14ac:dyDescent="0.25">
      <c r="A12" t="s">
        <v>3</v>
      </c>
      <c r="B12">
        <v>1920</v>
      </c>
      <c r="C12">
        <f>B12-$B$2</f>
        <v>50</v>
      </c>
      <c r="D12">
        <v>89.545689999999993</v>
      </c>
    </row>
    <row r="13" spans="1:4" x14ac:dyDescent="0.25">
      <c r="A13" t="s">
        <v>3</v>
      </c>
      <c r="B13">
        <v>1925</v>
      </c>
      <c r="C13">
        <f>B13-$B$2</f>
        <v>55</v>
      </c>
      <c r="D13">
        <v>92.391679999999994</v>
      </c>
    </row>
    <row r="14" spans="1:4" x14ac:dyDescent="0.25">
      <c r="A14" t="s">
        <v>3</v>
      </c>
      <c r="B14">
        <v>1930</v>
      </c>
      <c r="C14">
        <f>B14-$B$2</f>
        <v>60</v>
      </c>
      <c r="D14">
        <v>94.654259999999994</v>
      </c>
    </row>
    <row r="15" spans="1:4" x14ac:dyDescent="0.25">
      <c r="A15" t="s">
        <v>3</v>
      </c>
      <c r="B15">
        <v>1935</v>
      </c>
      <c r="C15">
        <f>B15-$B$2</f>
        <v>65</v>
      </c>
      <c r="D15">
        <v>95.202060000000003</v>
      </c>
    </row>
    <row r="16" spans="1:4" x14ac:dyDescent="0.25">
      <c r="A16" t="s">
        <v>3</v>
      </c>
      <c r="B16">
        <v>1940</v>
      </c>
      <c r="C16">
        <f>B16-$B$2</f>
        <v>70</v>
      </c>
      <c r="D16">
        <v>96.377859999999998</v>
      </c>
    </row>
    <row r="17" spans="1:20" x14ac:dyDescent="0.25">
      <c r="A17" t="s">
        <v>3</v>
      </c>
      <c r="B17">
        <v>1945</v>
      </c>
      <c r="C17">
        <f>B17-$B$2</f>
        <v>75</v>
      </c>
      <c r="D17">
        <v>96.730609999999999</v>
      </c>
      <c r="F17" t="s">
        <v>12</v>
      </c>
      <c r="I17" s="2" t="s">
        <v>41</v>
      </c>
      <c r="J17" s="2"/>
      <c r="K17" s="2"/>
      <c r="L17" s="2"/>
      <c r="P17" s="3" t="s">
        <v>50</v>
      </c>
      <c r="Q17" s="3"/>
    </row>
    <row r="18" spans="1:20" ht="15.75" thickBot="1" x14ac:dyDescent="0.3">
      <c r="A18" t="s">
        <v>3</v>
      </c>
      <c r="B18">
        <v>1950</v>
      </c>
      <c r="C18">
        <f>B18-$B$2</f>
        <v>80</v>
      </c>
      <c r="D18">
        <v>94.20608</v>
      </c>
      <c r="H18" s="2" t="s">
        <v>10</v>
      </c>
      <c r="I18" s="2"/>
      <c r="J18" s="2"/>
      <c r="K18" s="3" t="s">
        <v>36</v>
      </c>
      <c r="L18" s="3"/>
      <c r="M18" s="3"/>
      <c r="P18" s="3">
        <f>-0.00157*(150^2)+0.394119*(150)+73.07723</f>
        <v>96.870080000000002</v>
      </c>
    </row>
    <row r="19" spans="1:20" x14ac:dyDescent="0.25">
      <c r="A19" t="s">
        <v>3</v>
      </c>
      <c r="B19">
        <v>1955</v>
      </c>
      <c r="C19">
        <f>B19-$B$2</f>
        <v>85</v>
      </c>
      <c r="D19">
        <v>94.045940000000002</v>
      </c>
      <c r="F19" s="7" t="s">
        <v>13</v>
      </c>
      <c r="G19" s="7"/>
      <c r="H19" s="2" t="s">
        <v>38</v>
      </c>
      <c r="I19" s="2"/>
      <c r="J19" s="2"/>
      <c r="K19" s="2" t="s">
        <v>39</v>
      </c>
      <c r="L19" s="2"/>
      <c r="M19" s="2"/>
      <c r="N19" s="3"/>
      <c r="O19" s="3"/>
    </row>
    <row r="20" spans="1:20" x14ac:dyDescent="0.25">
      <c r="A20" t="s">
        <v>3</v>
      </c>
      <c r="B20">
        <v>1960</v>
      </c>
      <c r="C20">
        <f>B20-$B$2</f>
        <v>90</v>
      </c>
      <c r="D20">
        <v>94.78143</v>
      </c>
      <c r="F20" s="4" t="s">
        <v>14</v>
      </c>
      <c r="G20" s="4">
        <v>0.96928083213249272</v>
      </c>
      <c r="H20" s="2" t="s">
        <v>40</v>
      </c>
      <c r="I20" s="2"/>
      <c r="J20" s="2"/>
      <c r="K20" s="8">
        <f>(D18-D8)/(C18-C8)</f>
        <v>0.22625920000000008</v>
      </c>
      <c r="L20" s="8"/>
      <c r="M20" s="8"/>
      <c r="P20" s="3" t="s">
        <v>49</v>
      </c>
      <c r="Q20" s="3"/>
      <c r="R20" s="3"/>
      <c r="S20" s="3"/>
      <c r="T20" s="3"/>
    </row>
    <row r="21" spans="1:20" x14ac:dyDescent="0.25">
      <c r="A21" t="s">
        <v>3</v>
      </c>
      <c r="B21">
        <v>1965</v>
      </c>
      <c r="C21">
        <f>B21-$B$2</f>
        <v>95</v>
      </c>
      <c r="D21">
        <v>94.785780000000003</v>
      </c>
      <c r="F21" s="4" t="s">
        <v>15</v>
      </c>
      <c r="G21" s="4">
        <v>0.93950533153945748</v>
      </c>
      <c r="H21" s="2" t="s">
        <v>42</v>
      </c>
      <c r="I21" s="2"/>
      <c r="J21" s="2"/>
      <c r="K21" s="8">
        <f>(D30-D18)/(C30-C18)</f>
        <v>9.6541666666666734E-2</v>
      </c>
      <c r="L21" s="8"/>
      <c r="M21" s="8"/>
      <c r="P21" t="s">
        <v>46</v>
      </c>
      <c r="Q21" t="s">
        <v>47</v>
      </c>
      <c r="R21" t="s">
        <v>48</v>
      </c>
      <c r="S21" t="s">
        <v>52</v>
      </c>
    </row>
    <row r="22" spans="1:20" x14ac:dyDescent="0.25">
      <c r="A22" t="s">
        <v>3</v>
      </c>
      <c r="B22">
        <v>1970</v>
      </c>
      <c r="C22">
        <f>B22-$B$2</f>
        <v>100</v>
      </c>
      <c r="D22">
        <v>94.684569999999994</v>
      </c>
      <c r="F22" s="4" t="s">
        <v>16</v>
      </c>
      <c r="G22" s="4">
        <v>0.93485189550403114</v>
      </c>
      <c r="H22" s="2" t="s">
        <v>43</v>
      </c>
      <c r="I22" s="2"/>
      <c r="J22" s="2"/>
      <c r="K22" s="8">
        <f>(D26-D25)/(C26-C25)</f>
        <v>8.5460000000000494E-2</v>
      </c>
      <c r="L22" s="8"/>
      <c r="M22" s="8"/>
      <c r="P22">
        <v>0</v>
      </c>
      <c r="Q22">
        <f xml:space="preserve"> -0.00157*(P22^2)+0.394119*P22+73.07723</f>
        <v>73.07723</v>
      </c>
      <c r="R22" s="9">
        <f>(Q23-Q22)/$T$22</f>
        <v>0.38626899999999864</v>
      </c>
      <c r="S22" s="9">
        <f>(R23-R22)/$T$22</f>
        <v>-3.1399999999996431E-3</v>
      </c>
      <c r="T22">
        <v>5</v>
      </c>
    </row>
    <row r="23" spans="1:20" x14ac:dyDescent="0.25">
      <c r="A23" t="s">
        <v>3</v>
      </c>
      <c r="B23">
        <v>1975</v>
      </c>
      <c r="C23">
        <f>B23-$B$2</f>
        <v>105</v>
      </c>
      <c r="D23">
        <v>94.275959999999998</v>
      </c>
      <c r="F23" s="4" t="s">
        <v>17</v>
      </c>
      <c r="G23" s="4">
        <v>2.0564355203004641</v>
      </c>
      <c r="H23" s="2" t="s">
        <v>44</v>
      </c>
      <c r="I23" s="2"/>
      <c r="J23" s="2"/>
      <c r="K23" s="8">
        <f>(D27-D26)/(C27-C26)</f>
        <v>3.295999999999992E-2</v>
      </c>
      <c r="L23" s="8"/>
      <c r="M23" s="8"/>
      <c r="P23">
        <v>5</v>
      </c>
      <c r="Q23">
        <f t="shared" ref="Q23:Q56" si="0" xml:space="preserve"> -0.00157*(P23^2)+0.394119*P23+73.07723</f>
        <v>75.008574999999993</v>
      </c>
      <c r="R23" s="9">
        <f>(Q24-Q23)/$T$22</f>
        <v>0.37056900000000043</v>
      </c>
      <c r="S23" s="9">
        <f>(R24-R23)/$T$22</f>
        <v>-3.1399999999996431E-3</v>
      </c>
    </row>
    <row r="24" spans="1:20" ht="15.75" thickBot="1" x14ac:dyDescent="0.3">
      <c r="A24" t="s">
        <v>3</v>
      </c>
      <c r="B24">
        <v>1980</v>
      </c>
      <c r="C24">
        <f>B24-$B$2</f>
        <v>110</v>
      </c>
      <c r="D24">
        <v>95.030150000000006</v>
      </c>
      <c r="F24" s="5" t="s">
        <v>18</v>
      </c>
      <c r="G24" s="5">
        <v>29</v>
      </c>
      <c r="H24" s="2" t="s">
        <v>45</v>
      </c>
      <c r="I24" s="2"/>
      <c r="J24" s="2"/>
      <c r="K24" s="8">
        <f>(K22+K23)/2</f>
        <v>5.9210000000000207E-2</v>
      </c>
      <c r="L24" s="8"/>
      <c r="M24" s="8"/>
      <c r="P24">
        <v>10</v>
      </c>
      <c r="Q24">
        <f t="shared" si="0"/>
        <v>76.861419999999995</v>
      </c>
      <c r="R24" s="9">
        <f>(Q25-Q24)/$T$22</f>
        <v>0.35486900000000221</v>
      </c>
      <c r="S24" s="9">
        <f>(R25-R24)/$T$22</f>
        <v>-3.1400000000007867E-3</v>
      </c>
    </row>
    <row r="25" spans="1:20" x14ac:dyDescent="0.25">
      <c r="A25" t="s">
        <v>3</v>
      </c>
      <c r="B25">
        <v>1985</v>
      </c>
      <c r="C25">
        <f>B25-$B$2</f>
        <v>115</v>
      </c>
      <c r="D25">
        <v>96.56259</v>
      </c>
      <c r="P25">
        <v>15</v>
      </c>
      <c r="Q25">
        <f t="shared" si="0"/>
        <v>78.635765000000006</v>
      </c>
      <c r="R25" s="9">
        <f>(Q26-Q25)/$T$22</f>
        <v>0.33916899999999828</v>
      </c>
      <c r="S25" s="9">
        <f>(R26-R25)/$T$22</f>
        <v>-3.1399999999996431E-3</v>
      </c>
    </row>
    <row r="26" spans="1:20" ht="15.75" thickBot="1" x14ac:dyDescent="0.3">
      <c r="A26" t="s">
        <v>3</v>
      </c>
      <c r="B26">
        <v>1990</v>
      </c>
      <c r="C26">
        <f>B26-$B$2</f>
        <v>120</v>
      </c>
      <c r="D26">
        <v>96.989890000000003</v>
      </c>
      <c r="F26" t="s">
        <v>19</v>
      </c>
      <c r="P26">
        <v>20</v>
      </c>
      <c r="Q26">
        <f t="shared" si="0"/>
        <v>80.331609999999998</v>
      </c>
      <c r="R26" s="9">
        <f>(Q27-Q26)/$T$22</f>
        <v>0.32346900000000006</v>
      </c>
      <c r="S26" s="9">
        <f>(R27-R26)/$T$22</f>
        <v>-3.1400000000002203E-3</v>
      </c>
    </row>
    <row r="27" spans="1:20" x14ac:dyDescent="0.25">
      <c r="A27" t="s">
        <v>3</v>
      </c>
      <c r="B27">
        <v>1995</v>
      </c>
      <c r="C27">
        <f>B27-$B$2</f>
        <v>125</v>
      </c>
      <c r="D27">
        <v>97.154690000000002</v>
      </c>
      <c r="F27" s="6"/>
      <c r="G27" s="6" t="s">
        <v>24</v>
      </c>
      <c r="H27" s="6" t="s">
        <v>25</v>
      </c>
      <c r="I27" s="6" t="s">
        <v>26</v>
      </c>
      <c r="J27" s="6" t="s">
        <v>27</v>
      </c>
      <c r="K27" s="6" t="s">
        <v>28</v>
      </c>
      <c r="P27">
        <v>25</v>
      </c>
      <c r="Q27">
        <f t="shared" si="0"/>
        <v>81.948954999999998</v>
      </c>
      <c r="R27" s="9">
        <f>(Q28-Q27)/$T$22</f>
        <v>0.30776899999999896</v>
      </c>
      <c r="S27" s="9">
        <f>(R28-R27)/$T$22</f>
        <v>-3.1399999999996431E-3</v>
      </c>
    </row>
    <row r="28" spans="1:20" x14ac:dyDescent="0.25">
      <c r="A28" t="s">
        <v>3</v>
      </c>
      <c r="B28">
        <v>2000</v>
      </c>
      <c r="C28">
        <f>B28-$B$2</f>
        <v>130</v>
      </c>
      <c r="D28">
        <v>98.075720000000004</v>
      </c>
      <c r="F28" s="4" t="s">
        <v>20</v>
      </c>
      <c r="G28" s="4">
        <v>2</v>
      </c>
      <c r="H28" s="4">
        <v>1707.5982044769071</v>
      </c>
      <c r="I28" s="4">
        <v>853.79910223845354</v>
      </c>
      <c r="J28" s="4">
        <v>201.89497059528836</v>
      </c>
      <c r="K28" s="4">
        <v>1.453189703707632E-16</v>
      </c>
      <c r="P28">
        <v>30</v>
      </c>
      <c r="Q28">
        <f t="shared" si="0"/>
        <v>83.487799999999993</v>
      </c>
      <c r="R28" s="9">
        <f>(Q29-Q28)/$T$22</f>
        <v>0.29206900000000074</v>
      </c>
      <c r="S28" s="9">
        <f>(R29-R28)/$T$22</f>
        <v>-3.1400000000002095E-3</v>
      </c>
    </row>
    <row r="29" spans="1:20" x14ac:dyDescent="0.25">
      <c r="A29" t="s">
        <v>3</v>
      </c>
      <c r="B29">
        <v>2005</v>
      </c>
      <c r="C29">
        <f>B29-$B$2</f>
        <v>135</v>
      </c>
      <c r="D29">
        <v>99.220680000000002</v>
      </c>
      <c r="F29" s="4" t="s">
        <v>21</v>
      </c>
      <c r="G29" s="4">
        <v>26</v>
      </c>
      <c r="H29" s="4">
        <v>109.95210327798947</v>
      </c>
      <c r="I29" s="4">
        <v>4.228927049153441</v>
      </c>
      <c r="J29" s="4"/>
      <c r="K29" s="4"/>
      <c r="P29">
        <v>35</v>
      </c>
      <c r="Q29">
        <f t="shared" si="0"/>
        <v>84.948144999999997</v>
      </c>
      <c r="R29" s="9">
        <f>(Q30-Q29)/$T$22</f>
        <v>0.2763689999999997</v>
      </c>
      <c r="S29" s="9">
        <f>(R30-R29)/$T$22</f>
        <v>-3.1399999999996431E-3</v>
      </c>
    </row>
    <row r="30" spans="1:20" ht="15.75" thickBot="1" x14ac:dyDescent="0.3">
      <c r="A30" t="s">
        <v>3</v>
      </c>
      <c r="B30">
        <v>2010</v>
      </c>
      <c r="C30">
        <f>B30-$B$2</f>
        <v>140</v>
      </c>
      <c r="D30">
        <v>99.998580000000004</v>
      </c>
      <c r="F30" s="5" t="s">
        <v>22</v>
      </c>
      <c r="G30" s="5">
        <v>28</v>
      </c>
      <c r="H30" s="5">
        <v>1817.5503077548965</v>
      </c>
      <c r="I30" s="5"/>
      <c r="J30" s="5"/>
      <c r="K30" s="5"/>
      <c r="P30">
        <v>40</v>
      </c>
      <c r="Q30">
        <f t="shared" si="0"/>
        <v>86.329989999999995</v>
      </c>
      <c r="R30" s="9">
        <f>(Q31-Q30)/$T$22</f>
        <v>0.26066900000000148</v>
      </c>
      <c r="S30" s="9">
        <f>(R31-R30)/$T$22</f>
        <v>-3.1400000000002203E-3</v>
      </c>
    </row>
    <row r="31" spans="1:20" ht="15.75" thickBot="1" x14ac:dyDescent="0.3">
      <c r="P31">
        <v>45</v>
      </c>
      <c r="Q31">
        <f t="shared" si="0"/>
        <v>87.633335000000002</v>
      </c>
      <c r="R31" s="9">
        <f>(Q32-Q31)/$T$22</f>
        <v>0.24496900000000038</v>
      </c>
      <c r="S31" s="9">
        <f>(R32-R31)/$T$22</f>
        <v>-3.1400000000002095E-3</v>
      </c>
    </row>
    <row r="32" spans="1:20" x14ac:dyDescent="0.25">
      <c r="A32" s="1"/>
      <c r="B32" s="3"/>
      <c r="C32" s="1"/>
      <c r="D32" s="3"/>
      <c r="E32" s="3"/>
      <c r="F32" s="6"/>
      <c r="G32" s="6" t="s">
        <v>29</v>
      </c>
      <c r="H32" s="6" t="s">
        <v>17</v>
      </c>
      <c r="I32" s="6" t="s">
        <v>30</v>
      </c>
      <c r="J32" s="6" t="s">
        <v>31</v>
      </c>
      <c r="K32" s="6" t="s">
        <v>32</v>
      </c>
      <c r="L32" s="6" t="s">
        <v>33</v>
      </c>
      <c r="M32" s="6" t="s">
        <v>34</v>
      </c>
      <c r="N32" s="6" t="s">
        <v>35</v>
      </c>
      <c r="P32">
        <v>50</v>
      </c>
      <c r="Q32">
        <f t="shared" si="0"/>
        <v>88.858180000000004</v>
      </c>
      <c r="R32" s="9">
        <f>(Q33-Q32)/$T$22</f>
        <v>0.22926899999999933</v>
      </c>
      <c r="S32" s="9">
        <f>(R33-R32)/$T$22</f>
        <v>-3.1399999999996487E-3</v>
      </c>
    </row>
    <row r="33" spans="6:19" x14ac:dyDescent="0.25">
      <c r="F33" s="4" t="s">
        <v>23</v>
      </c>
      <c r="G33" s="4">
        <v>73.07722745050053</v>
      </c>
      <c r="H33" s="4">
        <v>1.0709078486155958</v>
      </c>
      <c r="I33" s="4">
        <v>68.23857677854383</v>
      </c>
      <c r="J33" s="4">
        <v>7.4103596016410512E-31</v>
      </c>
      <c r="K33" s="4">
        <v>70.875944841597473</v>
      </c>
      <c r="L33" s="4">
        <v>75.278510059403587</v>
      </c>
      <c r="M33" s="4">
        <v>70.875944841597473</v>
      </c>
      <c r="N33" s="4">
        <v>75.278510059403587</v>
      </c>
      <c r="P33">
        <v>55</v>
      </c>
      <c r="Q33">
        <f t="shared" si="0"/>
        <v>90.004525000000001</v>
      </c>
      <c r="R33" s="9">
        <f>(Q34-Q33)/$T$22</f>
        <v>0.21356900000000109</v>
      </c>
      <c r="S33" s="9">
        <f>(R34-R33)/$T$22</f>
        <v>-3.1400000000007811E-3</v>
      </c>
    </row>
    <row r="34" spans="6:19" x14ac:dyDescent="0.25">
      <c r="F34" s="4" t="s">
        <v>9</v>
      </c>
      <c r="G34" s="4">
        <v>0.39411869251196213</v>
      </c>
      <c r="H34" s="4">
        <v>3.5413423177136687E-2</v>
      </c>
      <c r="I34" s="4">
        <v>11.129076410958477</v>
      </c>
      <c r="J34" s="4">
        <v>2.1844005391977483E-11</v>
      </c>
      <c r="K34" s="4">
        <v>0.32132535864823986</v>
      </c>
      <c r="L34" s="4">
        <v>0.46691202637568441</v>
      </c>
      <c r="M34" s="4">
        <v>0.32132535864823986</v>
      </c>
      <c r="N34" s="4">
        <v>0.46691202637568441</v>
      </c>
      <c r="P34">
        <v>60</v>
      </c>
      <c r="Q34">
        <f t="shared" si="0"/>
        <v>91.072370000000006</v>
      </c>
      <c r="R34" s="9">
        <f>(Q35-Q34)/$T$22</f>
        <v>0.19786899999999719</v>
      </c>
      <c r="S34" s="9">
        <f>(R35-R34)/$T$22</f>
        <v>-3.1399999999990767E-3</v>
      </c>
    </row>
    <row r="35" spans="6:19" ht="15.75" thickBot="1" x14ac:dyDescent="0.3">
      <c r="F35" s="5" t="s">
        <v>11</v>
      </c>
      <c r="G35" s="5">
        <v>-1.574020491904585E-3</v>
      </c>
      <c r="H35" s="5">
        <v>2.4440493428719415E-4</v>
      </c>
      <c r="I35" s="5">
        <v>-6.4402156875236924</v>
      </c>
      <c r="J35" s="5">
        <v>7.9867477871699514E-7</v>
      </c>
      <c r="K35" s="5">
        <v>-2.0764020292814893E-3</v>
      </c>
      <c r="L35" s="5">
        <v>-1.0716389545276806E-3</v>
      </c>
      <c r="M35" s="5">
        <v>-2.0764020292814893E-3</v>
      </c>
      <c r="N35" s="5">
        <v>-1.0716389545276806E-3</v>
      </c>
      <c r="P35">
        <v>65</v>
      </c>
      <c r="Q35">
        <f t="shared" si="0"/>
        <v>92.061714999999992</v>
      </c>
      <c r="R35" s="9">
        <f>(Q36-Q35)/$T$22</f>
        <v>0.1821690000000018</v>
      </c>
      <c r="S35" s="9">
        <f>(R36-R35)/$T$22</f>
        <v>-3.1400000000007811E-3</v>
      </c>
    </row>
    <row r="36" spans="6:19" x14ac:dyDescent="0.25">
      <c r="P36">
        <v>70</v>
      </c>
      <c r="Q36">
        <f t="shared" si="0"/>
        <v>92.972560000000001</v>
      </c>
      <c r="R36" s="9">
        <f>(Q37-Q36)/$T$22</f>
        <v>0.1664689999999979</v>
      </c>
      <c r="S36" s="9">
        <f>(R37-R36)/$T$22</f>
        <v>-3.1399999999990767E-3</v>
      </c>
    </row>
    <row r="37" spans="6:19" x14ac:dyDescent="0.25">
      <c r="P37">
        <v>75</v>
      </c>
      <c r="Q37">
        <f t="shared" si="0"/>
        <v>93.804904999999991</v>
      </c>
      <c r="R37" s="9">
        <f>(Q38-Q37)/$T$22</f>
        <v>0.15076900000000251</v>
      </c>
      <c r="S37" s="9">
        <f>(R38-R37)/$T$22</f>
        <v>-3.1400000000007811E-3</v>
      </c>
    </row>
    <row r="38" spans="6:19" x14ac:dyDescent="0.25">
      <c r="P38">
        <v>80</v>
      </c>
      <c r="Q38">
        <f t="shared" si="0"/>
        <v>94.558750000000003</v>
      </c>
      <c r="R38" s="9">
        <f>(Q39-Q38)/$T$22</f>
        <v>0.13506899999999861</v>
      </c>
      <c r="S38" s="9">
        <f>(R39-R38)/$T$22</f>
        <v>-3.1399999999996487E-3</v>
      </c>
    </row>
    <row r="39" spans="6:19" x14ac:dyDescent="0.25">
      <c r="F39" s="2" t="s">
        <v>37</v>
      </c>
      <c r="G39" s="2"/>
      <c r="H39" s="2"/>
      <c r="I39" s="2">
        <f>SLOPE(D2:D30,C2:C30)</f>
        <v>0.17375582364532025</v>
      </c>
      <c r="J39" s="2"/>
      <c r="K39" s="2"/>
      <c r="P39">
        <v>85</v>
      </c>
      <c r="Q39">
        <f t="shared" si="0"/>
        <v>95.234094999999996</v>
      </c>
      <c r="R39" s="9">
        <f>(Q40-Q39)/$T$22</f>
        <v>0.11936900000000036</v>
      </c>
      <c r="S39" s="9">
        <f>(R40-R39)/$T$22</f>
        <v>-3.1399999999996431E-3</v>
      </c>
    </row>
    <row r="40" spans="6:19" x14ac:dyDescent="0.25">
      <c r="P40">
        <v>90</v>
      </c>
      <c r="Q40">
        <f t="shared" si="0"/>
        <v>95.830939999999998</v>
      </c>
      <c r="R40" s="9">
        <f>(Q41-Q40)/$T$22</f>
        <v>0.10366900000000215</v>
      </c>
      <c r="S40" s="9">
        <f>(R41-R40)/$T$22</f>
        <v>-3.1400000000007837E-3</v>
      </c>
    </row>
    <row r="41" spans="6:19" x14ac:dyDescent="0.25">
      <c r="P41">
        <v>95</v>
      </c>
      <c r="Q41">
        <f t="shared" si="0"/>
        <v>96.349285000000009</v>
      </c>
      <c r="R41" s="9">
        <f>(Q42-Q41)/$T$22</f>
        <v>8.7968999999998229E-2</v>
      </c>
      <c r="S41" s="9">
        <f>(R42-R41)/$T$22</f>
        <v>-3.1399999999996457E-3</v>
      </c>
    </row>
    <row r="42" spans="6:19" x14ac:dyDescent="0.25">
      <c r="P42">
        <v>100</v>
      </c>
      <c r="Q42">
        <f t="shared" si="0"/>
        <v>96.78913</v>
      </c>
      <c r="R42" s="9">
        <f>(Q43-Q42)/$T$22</f>
        <v>7.2269E-2</v>
      </c>
      <c r="S42" s="9">
        <f>(R43-R42)/$T$22</f>
        <v>-3.1399999999996444E-3</v>
      </c>
    </row>
    <row r="43" spans="6:19" x14ac:dyDescent="0.25">
      <c r="P43">
        <v>105</v>
      </c>
      <c r="Q43">
        <f t="shared" si="0"/>
        <v>97.150475</v>
      </c>
      <c r="R43" s="9">
        <f>(Q44-Q43)/$T$22</f>
        <v>5.6569000000001778E-2</v>
      </c>
      <c r="S43" s="9">
        <f>(R44-R43)/$T$22</f>
        <v>-3.1400000000007824E-3</v>
      </c>
    </row>
    <row r="44" spans="6:19" x14ac:dyDescent="0.25">
      <c r="P44">
        <v>110</v>
      </c>
      <c r="Q44">
        <f t="shared" si="0"/>
        <v>97.433320000000009</v>
      </c>
      <c r="R44" s="9">
        <f>(Q45-Q44)/$T$22</f>
        <v>4.0868999999997865E-2</v>
      </c>
      <c r="S44" s="9">
        <f>(R45-R44)/$T$22</f>
        <v>-3.1399999999996444E-3</v>
      </c>
    </row>
    <row r="45" spans="6:19" x14ac:dyDescent="0.25">
      <c r="P45">
        <v>115</v>
      </c>
      <c r="Q45">
        <f t="shared" si="0"/>
        <v>97.637664999999998</v>
      </c>
      <c r="R45" s="9">
        <f>(Q46-Q45)/$T$22</f>
        <v>2.5168999999999643E-2</v>
      </c>
      <c r="S45" s="9">
        <f>(R46-R45)/$T$22</f>
        <v>-3.1399999999996457E-3</v>
      </c>
    </row>
    <row r="46" spans="6:19" x14ac:dyDescent="0.25">
      <c r="P46">
        <v>120</v>
      </c>
      <c r="Q46">
        <f t="shared" si="0"/>
        <v>97.763509999999997</v>
      </c>
      <c r="R46" s="9">
        <f>(Q47-Q46)/$T$22</f>
        <v>9.4690000000014155E-3</v>
      </c>
      <c r="S46" s="9">
        <f>(R47-R46)/$T$22</f>
        <v>-3.1400000000007824E-3</v>
      </c>
    </row>
    <row r="47" spans="6:19" x14ac:dyDescent="0.25">
      <c r="P47">
        <v>125</v>
      </c>
      <c r="Q47">
        <f t="shared" si="0"/>
        <v>97.810855000000004</v>
      </c>
      <c r="R47" s="9">
        <f>(Q48-Q47)/$T$22</f>
        <v>-6.2310000000024958E-3</v>
      </c>
      <c r="S47" s="9">
        <f>(R48-R47)/$T$22</f>
        <v>-3.1399999999990767E-3</v>
      </c>
    </row>
    <row r="48" spans="6:19" x14ac:dyDescent="0.25">
      <c r="P48">
        <v>130</v>
      </c>
      <c r="Q48">
        <f t="shared" si="0"/>
        <v>97.779699999999991</v>
      </c>
      <c r="R48" s="9">
        <f>(Q49-Q48)/$T$22</f>
        <v>-2.1930999999997879E-2</v>
      </c>
      <c r="S48" s="9">
        <f>(R49-R48)/$T$22</f>
        <v>-3.1400000000007819E-3</v>
      </c>
    </row>
    <row r="49" spans="16:19" x14ac:dyDescent="0.25">
      <c r="P49">
        <v>135</v>
      </c>
      <c r="Q49">
        <f t="shared" si="0"/>
        <v>97.670045000000002</v>
      </c>
      <c r="R49" s="9">
        <f>(Q50-Q49)/$T$22</f>
        <v>-3.7631000000001788E-2</v>
      </c>
      <c r="S49" s="9">
        <f>(R50-R49)/$T$22</f>
        <v>-3.1399999999990767E-3</v>
      </c>
    </row>
    <row r="50" spans="16:19" x14ac:dyDescent="0.25">
      <c r="P50">
        <v>140</v>
      </c>
      <c r="Q50">
        <f t="shared" si="0"/>
        <v>97.481889999999993</v>
      </c>
      <c r="R50" s="9">
        <f>(Q51-Q50)/$T$22</f>
        <v>-5.3330999999997172E-2</v>
      </c>
      <c r="S50" s="9">
        <f>(R51-R50)/$T$22</f>
        <v>-3.1400000000007837E-3</v>
      </c>
    </row>
    <row r="51" spans="16:19" x14ac:dyDescent="0.25">
      <c r="P51">
        <v>145</v>
      </c>
      <c r="Q51">
        <f t="shared" si="0"/>
        <v>97.215235000000007</v>
      </c>
      <c r="R51" s="9">
        <f>(Q52-Q51)/$T$22</f>
        <v>-6.9031000000001091E-2</v>
      </c>
      <c r="S51" s="9">
        <f>(R52-R51)/$T$22</f>
        <v>-3.1399999999996431E-3</v>
      </c>
    </row>
    <row r="52" spans="16:19" x14ac:dyDescent="0.25">
      <c r="P52">
        <v>150</v>
      </c>
      <c r="Q52">
        <f t="shared" si="0"/>
        <v>96.870080000000002</v>
      </c>
      <c r="R52" s="9">
        <f>(Q53-Q52)/$T$22</f>
        <v>-8.4730999999999307E-2</v>
      </c>
      <c r="S52" s="9">
        <f>(R53-R52)/$T$22</f>
        <v>-3.1400000000007837E-3</v>
      </c>
    </row>
    <row r="53" spans="16:19" x14ac:dyDescent="0.25">
      <c r="P53">
        <v>155</v>
      </c>
      <c r="Q53">
        <f t="shared" si="0"/>
        <v>96.446425000000005</v>
      </c>
      <c r="R53" s="9">
        <f>(Q54-Q53)/$T$22</f>
        <v>-0.10043100000000323</v>
      </c>
      <c r="S53" s="9">
        <f>(R54-R53)/$T$22</f>
        <v>-3.1399999999990767E-3</v>
      </c>
    </row>
    <row r="54" spans="16:19" x14ac:dyDescent="0.25">
      <c r="P54">
        <v>160</v>
      </c>
      <c r="Q54">
        <f t="shared" si="0"/>
        <v>95.944269999999989</v>
      </c>
      <c r="R54" s="9">
        <f>(Q55-Q54)/$T$22</f>
        <v>-0.11613099999999861</v>
      </c>
      <c r="S54" s="9">
        <f>(R55-R54)/$T$22</f>
        <v>-3.1399999999996457E-3</v>
      </c>
    </row>
    <row r="55" spans="16:19" x14ac:dyDescent="0.25">
      <c r="P55">
        <v>165</v>
      </c>
      <c r="Q55">
        <f t="shared" si="0"/>
        <v>95.363614999999996</v>
      </c>
      <c r="R55" s="9">
        <f>(Q56-Q55)/$T$22</f>
        <v>-0.13183099999999684</v>
      </c>
      <c r="S55" s="9"/>
    </row>
    <row r="56" spans="16:19" x14ac:dyDescent="0.25">
      <c r="P56">
        <v>170</v>
      </c>
      <c r="Q56">
        <f t="shared" si="0"/>
        <v>94.704460000000012</v>
      </c>
      <c r="R56" s="9"/>
      <c r="S56" s="9"/>
    </row>
  </sheetData>
  <mergeCells count="16">
    <mergeCell ref="H23:J23"/>
    <mergeCell ref="K23:M23"/>
    <mergeCell ref="H24:J24"/>
    <mergeCell ref="K24:M24"/>
    <mergeCell ref="K19:M19"/>
    <mergeCell ref="I17:L17"/>
    <mergeCell ref="H21:J21"/>
    <mergeCell ref="K20:M20"/>
    <mergeCell ref="K21:M21"/>
    <mergeCell ref="H22:J22"/>
    <mergeCell ref="K22:M22"/>
    <mergeCell ref="H18:J18"/>
    <mergeCell ref="F39:H39"/>
    <mergeCell ref="I39:K39"/>
    <mergeCell ref="H19:J19"/>
    <mergeCell ref="H20:J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"/>
  <sheetViews>
    <sheetView workbookViewId="0">
      <selection activeCell="F23" sqref="F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1870</v>
      </c>
      <c r="C2">
        <v>74.457599999999999</v>
      </c>
    </row>
    <row r="3" spans="1:3" x14ac:dyDescent="0.25">
      <c r="A3" t="s">
        <v>3</v>
      </c>
      <c r="B3">
        <v>1875</v>
      </c>
      <c r="C3">
        <v>76.920460000000006</v>
      </c>
    </row>
    <row r="4" spans="1:3" x14ac:dyDescent="0.25">
      <c r="A4" t="s">
        <v>3</v>
      </c>
      <c r="B4">
        <v>1880</v>
      </c>
      <c r="C4">
        <v>74.929670000000002</v>
      </c>
    </row>
    <row r="5" spans="1:3" x14ac:dyDescent="0.25">
      <c r="A5" t="s">
        <v>3</v>
      </c>
      <c r="B5">
        <v>1885</v>
      </c>
      <c r="C5">
        <v>78.566500000000005</v>
      </c>
    </row>
    <row r="6" spans="1:3" x14ac:dyDescent="0.25">
      <c r="A6" t="s">
        <v>3</v>
      </c>
      <c r="B6">
        <v>1890</v>
      </c>
      <c r="C6">
        <v>77.196749999999994</v>
      </c>
    </row>
    <row r="7" spans="1:3" x14ac:dyDescent="0.25">
      <c r="A7" t="s">
        <v>3</v>
      </c>
      <c r="B7">
        <v>1895</v>
      </c>
      <c r="C7">
        <v>81.500230000000002</v>
      </c>
    </row>
    <row r="8" spans="1:3" x14ac:dyDescent="0.25">
      <c r="A8" t="s">
        <v>3</v>
      </c>
      <c r="B8">
        <v>1900</v>
      </c>
      <c r="C8">
        <v>82.893119999999996</v>
      </c>
    </row>
    <row r="9" spans="1:3" x14ac:dyDescent="0.25">
      <c r="A9" t="s">
        <v>3</v>
      </c>
      <c r="B9">
        <v>1905</v>
      </c>
      <c r="C9">
        <v>83.960790000000003</v>
      </c>
    </row>
    <row r="10" spans="1:3" x14ac:dyDescent="0.25">
      <c r="A10" t="s">
        <v>3</v>
      </c>
      <c r="B10">
        <v>1910</v>
      </c>
      <c r="C10">
        <v>84.390230000000003</v>
      </c>
    </row>
    <row r="11" spans="1:3" x14ac:dyDescent="0.25">
      <c r="A11" t="s">
        <v>3</v>
      </c>
      <c r="B11">
        <v>1915</v>
      </c>
      <c r="C11">
        <v>86.221119999999999</v>
      </c>
    </row>
    <row r="12" spans="1:3" x14ac:dyDescent="0.25">
      <c r="A12" t="s">
        <v>3</v>
      </c>
      <c r="B12">
        <v>1920</v>
      </c>
      <c r="C12">
        <v>89.545689999999993</v>
      </c>
    </row>
    <row r="13" spans="1:3" x14ac:dyDescent="0.25">
      <c r="A13" t="s">
        <v>3</v>
      </c>
      <c r="B13">
        <v>1925</v>
      </c>
      <c r="C13">
        <v>92.391679999999994</v>
      </c>
    </row>
    <row r="14" spans="1:3" x14ac:dyDescent="0.25">
      <c r="A14" t="s">
        <v>3</v>
      </c>
      <c r="B14">
        <v>1930</v>
      </c>
      <c r="C14">
        <v>94.654259999999994</v>
      </c>
    </row>
    <row r="15" spans="1:3" x14ac:dyDescent="0.25">
      <c r="A15" t="s">
        <v>3</v>
      </c>
      <c r="B15">
        <v>1935</v>
      </c>
      <c r="C15">
        <v>95.202060000000003</v>
      </c>
    </row>
    <row r="16" spans="1:3" x14ac:dyDescent="0.25">
      <c r="A16" t="s">
        <v>3</v>
      </c>
      <c r="B16">
        <v>1940</v>
      </c>
      <c r="C16">
        <v>96.377859999999998</v>
      </c>
    </row>
    <row r="17" spans="1:3" x14ac:dyDescent="0.25">
      <c r="A17" t="s">
        <v>3</v>
      </c>
      <c r="B17">
        <v>1945</v>
      </c>
      <c r="C17">
        <v>96.730609999999999</v>
      </c>
    </row>
    <row r="18" spans="1:3" x14ac:dyDescent="0.25">
      <c r="A18" t="s">
        <v>3</v>
      </c>
      <c r="B18">
        <v>1950</v>
      </c>
      <c r="C18">
        <v>94.20608</v>
      </c>
    </row>
    <row r="19" spans="1:3" x14ac:dyDescent="0.25">
      <c r="A19" t="s">
        <v>3</v>
      </c>
      <c r="B19">
        <v>1955</v>
      </c>
      <c r="C19">
        <v>94.045940000000002</v>
      </c>
    </row>
    <row r="20" spans="1:3" x14ac:dyDescent="0.25">
      <c r="A20" t="s">
        <v>3</v>
      </c>
      <c r="B20">
        <v>1960</v>
      </c>
      <c r="C20">
        <v>94.78143</v>
      </c>
    </row>
    <row r="21" spans="1:3" x14ac:dyDescent="0.25">
      <c r="A21" t="s">
        <v>3</v>
      </c>
      <c r="B21">
        <v>1965</v>
      </c>
      <c r="C21">
        <v>94.785780000000003</v>
      </c>
    </row>
    <row r="22" spans="1:3" x14ac:dyDescent="0.25">
      <c r="A22" t="s">
        <v>3</v>
      </c>
      <c r="B22">
        <v>1970</v>
      </c>
      <c r="C22">
        <v>94.684569999999994</v>
      </c>
    </row>
    <row r="23" spans="1:3" x14ac:dyDescent="0.25">
      <c r="A23" t="s">
        <v>3</v>
      </c>
      <c r="B23">
        <v>1975</v>
      </c>
      <c r="C23">
        <v>94.275959999999998</v>
      </c>
    </row>
    <row r="24" spans="1:3" x14ac:dyDescent="0.25">
      <c r="A24" t="s">
        <v>3</v>
      </c>
      <c r="B24">
        <v>1980</v>
      </c>
      <c r="C24">
        <v>95.030150000000006</v>
      </c>
    </row>
    <row r="25" spans="1:3" x14ac:dyDescent="0.25">
      <c r="A25" t="s">
        <v>3</v>
      </c>
      <c r="B25">
        <v>1985</v>
      </c>
      <c r="C25">
        <v>96.56259</v>
      </c>
    </row>
    <row r="26" spans="1:3" x14ac:dyDescent="0.25">
      <c r="A26" t="s">
        <v>3</v>
      </c>
      <c r="B26">
        <v>1990</v>
      </c>
      <c r="C26">
        <v>96.989890000000003</v>
      </c>
    </row>
    <row r="27" spans="1:3" x14ac:dyDescent="0.25">
      <c r="A27" t="s">
        <v>3</v>
      </c>
      <c r="B27">
        <v>1995</v>
      </c>
      <c r="C27">
        <v>97.154690000000002</v>
      </c>
    </row>
    <row r="28" spans="1:3" x14ac:dyDescent="0.25">
      <c r="A28" t="s">
        <v>3</v>
      </c>
      <c r="B28">
        <v>2000</v>
      </c>
      <c r="C28">
        <v>98.075720000000004</v>
      </c>
    </row>
    <row r="29" spans="1:3" x14ac:dyDescent="0.25">
      <c r="A29" t="s">
        <v>3</v>
      </c>
      <c r="B29">
        <v>2005</v>
      </c>
      <c r="C29">
        <v>99.220680000000002</v>
      </c>
    </row>
    <row r="30" spans="1:3" x14ac:dyDescent="0.25">
      <c r="A30" t="s">
        <v>3</v>
      </c>
      <c r="B30">
        <v>2010</v>
      </c>
      <c r="C30">
        <v>99.998580000000004</v>
      </c>
    </row>
    <row r="31" spans="1:3" x14ac:dyDescent="0.25">
      <c r="A31" t="s">
        <v>4</v>
      </c>
      <c r="B31">
        <v>1870</v>
      </c>
      <c r="C31">
        <v>30.04064</v>
      </c>
    </row>
    <row r="32" spans="1:3" x14ac:dyDescent="0.25">
      <c r="A32" t="s">
        <v>4</v>
      </c>
      <c r="B32">
        <v>1875</v>
      </c>
      <c r="C32">
        <v>25.44332</v>
      </c>
    </row>
    <row r="33" spans="1:3" x14ac:dyDescent="0.25">
      <c r="A33" t="s">
        <v>4</v>
      </c>
      <c r="B33">
        <v>1880</v>
      </c>
      <c r="C33">
        <v>22.84131</v>
      </c>
    </row>
    <row r="34" spans="1:3" x14ac:dyDescent="0.25">
      <c r="A34" t="s">
        <v>4</v>
      </c>
      <c r="B34">
        <v>1885</v>
      </c>
      <c r="C34">
        <v>17.0367</v>
      </c>
    </row>
    <row r="35" spans="1:3" x14ac:dyDescent="0.25">
      <c r="A35" t="s">
        <v>4</v>
      </c>
      <c r="B35">
        <v>1890</v>
      </c>
      <c r="C35">
        <v>14.301410000000001</v>
      </c>
    </row>
    <row r="36" spans="1:3" x14ac:dyDescent="0.25">
      <c r="A36" t="s">
        <v>4</v>
      </c>
      <c r="B36">
        <v>1895</v>
      </c>
      <c r="C36">
        <v>13.02516</v>
      </c>
    </row>
    <row r="37" spans="1:3" x14ac:dyDescent="0.25">
      <c r="A37" t="s">
        <v>4</v>
      </c>
      <c r="B37">
        <v>1900</v>
      </c>
      <c r="C37">
        <v>14.300750000000001</v>
      </c>
    </row>
    <row r="38" spans="1:3" x14ac:dyDescent="0.25">
      <c r="A38" t="s">
        <v>4</v>
      </c>
      <c r="B38">
        <v>1905</v>
      </c>
      <c r="C38">
        <v>15.91014</v>
      </c>
    </row>
    <row r="39" spans="1:3" x14ac:dyDescent="0.25">
      <c r="A39" t="s">
        <v>4</v>
      </c>
      <c r="B39">
        <v>1910</v>
      </c>
      <c r="C39">
        <v>16.956679999999999</v>
      </c>
    </row>
    <row r="40" spans="1:3" x14ac:dyDescent="0.25">
      <c r="A40" t="s">
        <v>4</v>
      </c>
      <c r="B40">
        <v>1915</v>
      </c>
      <c r="C40">
        <v>20.63757</v>
      </c>
    </row>
    <row r="41" spans="1:3" x14ac:dyDescent="0.25">
      <c r="A41" t="s">
        <v>4</v>
      </c>
      <c r="B41">
        <v>1920</v>
      </c>
      <c r="C41">
        <v>29.8062</v>
      </c>
    </row>
    <row r="42" spans="1:3" x14ac:dyDescent="0.25">
      <c r="A42" t="s">
        <v>4</v>
      </c>
      <c r="B42">
        <v>1925</v>
      </c>
      <c r="C42">
        <v>28.283550000000002</v>
      </c>
    </row>
    <row r="43" spans="1:3" x14ac:dyDescent="0.25">
      <c r="A43" t="s">
        <v>4</v>
      </c>
      <c r="B43">
        <v>1930</v>
      </c>
      <c r="C43">
        <v>27.026769999999999</v>
      </c>
    </row>
    <row r="44" spans="1:3" x14ac:dyDescent="0.25">
      <c r="A44" t="s">
        <v>4</v>
      </c>
      <c r="B44">
        <v>1935</v>
      </c>
      <c r="C44">
        <v>26.606369999999998</v>
      </c>
    </row>
    <row r="45" spans="1:3" x14ac:dyDescent="0.25">
      <c r="A45" t="s">
        <v>4</v>
      </c>
      <c r="B45">
        <v>1940</v>
      </c>
      <c r="C45">
        <v>46.761099999999999</v>
      </c>
    </row>
    <row r="46" spans="1:3" x14ac:dyDescent="0.25">
      <c r="A46" t="s">
        <v>4</v>
      </c>
      <c r="B46">
        <v>1945</v>
      </c>
      <c r="C46">
        <v>44.536839999999998</v>
      </c>
    </row>
    <row r="47" spans="1:3" x14ac:dyDescent="0.25">
      <c r="A47" t="s">
        <v>4</v>
      </c>
      <c r="B47">
        <v>1950</v>
      </c>
      <c r="C47">
        <v>46.753660000000004</v>
      </c>
    </row>
    <row r="48" spans="1:3" x14ac:dyDescent="0.25">
      <c r="A48" t="s">
        <v>4</v>
      </c>
      <c r="B48">
        <v>1955</v>
      </c>
      <c r="C48">
        <v>48.721980000000002</v>
      </c>
    </row>
    <row r="49" spans="1:3" x14ac:dyDescent="0.25">
      <c r="A49" t="s">
        <v>4</v>
      </c>
      <c r="B49">
        <v>1960</v>
      </c>
      <c r="C49">
        <v>52.857889999999998</v>
      </c>
    </row>
    <row r="50" spans="1:3" x14ac:dyDescent="0.25">
      <c r="A50" t="s">
        <v>4</v>
      </c>
      <c r="B50">
        <v>1965</v>
      </c>
      <c r="C50">
        <v>58.088430000000002</v>
      </c>
    </row>
    <row r="51" spans="1:3" x14ac:dyDescent="0.25">
      <c r="A51" t="s">
        <v>4</v>
      </c>
      <c r="B51">
        <v>1970</v>
      </c>
      <c r="C51">
        <v>63.892209999999999</v>
      </c>
    </row>
    <row r="52" spans="1:3" x14ac:dyDescent="0.25">
      <c r="A52" t="s">
        <v>4</v>
      </c>
      <c r="B52">
        <v>1975</v>
      </c>
      <c r="C52">
        <v>66.25009</v>
      </c>
    </row>
    <row r="53" spans="1:3" x14ac:dyDescent="0.25">
      <c r="A53" t="s">
        <v>4</v>
      </c>
      <c r="B53">
        <v>1980</v>
      </c>
      <c r="C53">
        <v>69.34769</v>
      </c>
    </row>
    <row r="54" spans="1:3" x14ac:dyDescent="0.25">
      <c r="A54" t="s">
        <v>4</v>
      </c>
      <c r="B54">
        <v>1985</v>
      </c>
      <c r="C54">
        <v>74.985849999999999</v>
      </c>
    </row>
    <row r="55" spans="1:3" x14ac:dyDescent="0.25">
      <c r="A55" t="s">
        <v>4</v>
      </c>
      <c r="B55">
        <v>1990</v>
      </c>
      <c r="C55">
        <v>80.139510000000001</v>
      </c>
    </row>
    <row r="56" spans="1:3" x14ac:dyDescent="0.25">
      <c r="A56" t="s">
        <v>4</v>
      </c>
      <c r="B56">
        <v>1995</v>
      </c>
      <c r="C56">
        <v>76.556439999999995</v>
      </c>
    </row>
    <row r="57" spans="1:3" x14ac:dyDescent="0.25">
      <c r="A57" t="s">
        <v>4</v>
      </c>
      <c r="B57">
        <v>2000</v>
      </c>
      <c r="C57">
        <v>75.945350000000005</v>
      </c>
    </row>
    <row r="58" spans="1:3" x14ac:dyDescent="0.25">
      <c r="A58" t="s">
        <v>4</v>
      </c>
      <c r="B58">
        <v>2005</v>
      </c>
      <c r="C58">
        <v>80.108080000000001</v>
      </c>
    </row>
    <row r="59" spans="1:3" x14ac:dyDescent="0.25">
      <c r="A59" t="s">
        <v>4</v>
      </c>
      <c r="B59">
        <v>2010</v>
      </c>
      <c r="C59">
        <v>84.073070000000001</v>
      </c>
    </row>
    <row r="60" spans="1:3" x14ac:dyDescent="0.25">
      <c r="A60" t="s">
        <v>5</v>
      </c>
      <c r="B60">
        <v>1870</v>
      </c>
      <c r="C60">
        <v>67.972049999999996</v>
      </c>
    </row>
    <row r="61" spans="1:3" x14ac:dyDescent="0.25">
      <c r="A61" t="s">
        <v>5</v>
      </c>
      <c r="B61">
        <v>1875</v>
      </c>
      <c r="C61">
        <v>68.000230000000002</v>
      </c>
    </row>
    <row r="62" spans="1:3" x14ac:dyDescent="0.25">
      <c r="A62" t="s">
        <v>5</v>
      </c>
      <c r="B62">
        <v>1880</v>
      </c>
      <c r="C62">
        <v>68.994560000000007</v>
      </c>
    </row>
    <row r="63" spans="1:3" x14ac:dyDescent="0.25">
      <c r="A63" t="s">
        <v>5</v>
      </c>
      <c r="B63">
        <v>1885</v>
      </c>
      <c r="C63">
        <v>69.174949999999995</v>
      </c>
    </row>
    <row r="64" spans="1:3" x14ac:dyDescent="0.25">
      <c r="A64" t="s">
        <v>5</v>
      </c>
      <c r="B64">
        <v>1890</v>
      </c>
      <c r="C64">
        <v>70.704089999999994</v>
      </c>
    </row>
    <row r="65" spans="1:3" x14ac:dyDescent="0.25">
      <c r="A65" t="s">
        <v>5</v>
      </c>
      <c r="B65">
        <v>1895</v>
      </c>
      <c r="C65">
        <v>73.326120000000003</v>
      </c>
    </row>
    <row r="66" spans="1:3" x14ac:dyDescent="0.25">
      <c r="A66" t="s">
        <v>5</v>
      </c>
      <c r="B66">
        <v>1900</v>
      </c>
      <c r="C66">
        <v>68.646810000000002</v>
      </c>
    </row>
    <row r="67" spans="1:3" x14ac:dyDescent="0.25">
      <c r="A67" t="s">
        <v>5</v>
      </c>
      <c r="B67">
        <v>1905</v>
      </c>
      <c r="C67">
        <v>65.598860000000002</v>
      </c>
    </row>
    <row r="68" spans="1:3" x14ac:dyDescent="0.25">
      <c r="A68" t="s">
        <v>5</v>
      </c>
      <c r="B68">
        <v>1910</v>
      </c>
      <c r="C68">
        <v>67.642380000000003</v>
      </c>
    </row>
    <row r="69" spans="1:3" x14ac:dyDescent="0.25">
      <c r="A69" t="s">
        <v>5</v>
      </c>
      <c r="B69">
        <v>1915</v>
      </c>
      <c r="C69">
        <v>67.965509999999995</v>
      </c>
    </row>
    <row r="70" spans="1:3" x14ac:dyDescent="0.25">
      <c r="A70" t="s">
        <v>5</v>
      </c>
      <c r="B70">
        <v>1920</v>
      </c>
      <c r="C70">
        <v>71.048990000000003</v>
      </c>
    </row>
    <row r="71" spans="1:3" x14ac:dyDescent="0.25">
      <c r="A71" t="s">
        <v>5</v>
      </c>
      <c r="B71">
        <v>1925</v>
      </c>
      <c r="C71">
        <v>75.632459999999995</v>
      </c>
    </row>
    <row r="72" spans="1:3" x14ac:dyDescent="0.25">
      <c r="A72" t="s">
        <v>5</v>
      </c>
      <c r="B72">
        <v>1930</v>
      </c>
      <c r="C72">
        <v>79.105440000000002</v>
      </c>
    </row>
    <row r="73" spans="1:3" x14ac:dyDescent="0.25">
      <c r="A73" t="s">
        <v>5</v>
      </c>
      <c r="B73">
        <v>1935</v>
      </c>
      <c r="C73">
        <v>81.431479999999993</v>
      </c>
    </row>
    <row r="74" spans="1:3" x14ac:dyDescent="0.25">
      <c r="A74" t="s">
        <v>5</v>
      </c>
      <c r="B74">
        <v>1940</v>
      </c>
      <c r="C74">
        <v>80.836110000000005</v>
      </c>
    </row>
    <row r="75" spans="1:3" x14ac:dyDescent="0.25">
      <c r="A75" t="s">
        <v>5</v>
      </c>
      <c r="B75">
        <v>1945</v>
      </c>
      <c r="C75">
        <v>81.201170000000005</v>
      </c>
    </row>
    <row r="76" spans="1:3" x14ac:dyDescent="0.25">
      <c r="A76" t="s">
        <v>5</v>
      </c>
      <c r="B76">
        <v>1950</v>
      </c>
      <c r="C76">
        <v>81.390360000000001</v>
      </c>
    </row>
    <row r="77" spans="1:3" x14ac:dyDescent="0.25">
      <c r="A77" t="s">
        <v>5</v>
      </c>
      <c r="B77">
        <v>1955</v>
      </c>
      <c r="C77">
        <v>82.271299999999997</v>
      </c>
    </row>
    <row r="78" spans="1:3" x14ac:dyDescent="0.25">
      <c r="A78" t="s">
        <v>5</v>
      </c>
      <c r="B78">
        <v>1960</v>
      </c>
      <c r="C78">
        <v>83.698390000000003</v>
      </c>
    </row>
    <row r="79" spans="1:3" x14ac:dyDescent="0.25">
      <c r="A79" t="s">
        <v>5</v>
      </c>
      <c r="B79">
        <v>1965</v>
      </c>
      <c r="C79">
        <v>83.162559999999999</v>
      </c>
    </row>
    <row r="80" spans="1:3" x14ac:dyDescent="0.25">
      <c r="A80" t="s">
        <v>5</v>
      </c>
      <c r="B80">
        <v>1970</v>
      </c>
      <c r="C80">
        <v>85.209549999999993</v>
      </c>
    </row>
    <row r="81" spans="1:3" x14ac:dyDescent="0.25">
      <c r="A81" t="s">
        <v>5</v>
      </c>
      <c r="B81">
        <v>1975</v>
      </c>
      <c r="C81">
        <v>88.239530000000002</v>
      </c>
    </row>
    <row r="82" spans="1:3" x14ac:dyDescent="0.25">
      <c r="A82" t="s">
        <v>5</v>
      </c>
      <c r="B82">
        <v>1980</v>
      </c>
      <c r="C82">
        <v>91.049899999999994</v>
      </c>
    </row>
    <row r="83" spans="1:3" x14ac:dyDescent="0.25">
      <c r="A83" t="s">
        <v>5</v>
      </c>
      <c r="B83">
        <v>1985</v>
      </c>
      <c r="C83">
        <v>92.59751</v>
      </c>
    </row>
    <row r="84" spans="1:3" x14ac:dyDescent="0.25">
      <c r="A84" t="s">
        <v>5</v>
      </c>
      <c r="B84">
        <v>1990</v>
      </c>
      <c r="C84">
        <v>95.198329999999999</v>
      </c>
    </row>
    <row r="85" spans="1:3" x14ac:dyDescent="0.25">
      <c r="A85" t="s">
        <v>5</v>
      </c>
      <c r="B85">
        <v>1995</v>
      </c>
      <c r="C85">
        <v>99.508899999999997</v>
      </c>
    </row>
    <row r="86" spans="1:3" x14ac:dyDescent="0.25">
      <c r="A86" t="s">
        <v>5</v>
      </c>
      <c r="B86">
        <v>2000</v>
      </c>
      <c r="C86">
        <v>100.0765</v>
      </c>
    </row>
    <row r="87" spans="1:3" x14ac:dyDescent="0.25">
      <c r="A87" t="s">
        <v>5</v>
      </c>
      <c r="B87">
        <v>2005</v>
      </c>
      <c r="C87">
        <v>100.8708</v>
      </c>
    </row>
    <row r="88" spans="1:3" x14ac:dyDescent="0.25">
      <c r="A88" t="s">
        <v>5</v>
      </c>
      <c r="B88">
        <v>2010</v>
      </c>
      <c r="C88">
        <v>101.28100000000001</v>
      </c>
    </row>
    <row r="89" spans="1:3" x14ac:dyDescent="0.25">
      <c r="A89" t="s">
        <v>6</v>
      </c>
      <c r="B89">
        <v>1870</v>
      </c>
      <c r="C89">
        <v>27.277660000000001</v>
      </c>
    </row>
    <row r="90" spans="1:3" x14ac:dyDescent="0.25">
      <c r="A90" t="s">
        <v>6</v>
      </c>
      <c r="B90">
        <v>1875</v>
      </c>
      <c r="C90">
        <v>28.630109999999998</v>
      </c>
    </row>
    <row r="91" spans="1:3" x14ac:dyDescent="0.25">
      <c r="A91" t="s">
        <v>6</v>
      </c>
      <c r="B91">
        <v>1880</v>
      </c>
      <c r="C91">
        <v>30.244330000000001</v>
      </c>
    </row>
    <row r="92" spans="1:3" x14ac:dyDescent="0.25">
      <c r="A92" t="s">
        <v>6</v>
      </c>
      <c r="B92">
        <v>1885</v>
      </c>
      <c r="C92">
        <v>33.038989999999998</v>
      </c>
    </row>
    <row r="93" spans="1:3" x14ac:dyDescent="0.25">
      <c r="A93" t="s">
        <v>6</v>
      </c>
      <c r="B93">
        <v>1890</v>
      </c>
      <c r="C93">
        <v>36.906559999999999</v>
      </c>
    </row>
    <row r="94" spans="1:3" x14ac:dyDescent="0.25">
      <c r="A94" t="s">
        <v>6</v>
      </c>
      <c r="B94">
        <v>1895</v>
      </c>
      <c r="C94">
        <v>40.99727</v>
      </c>
    </row>
    <row r="95" spans="1:3" x14ac:dyDescent="0.25">
      <c r="A95" t="s">
        <v>6</v>
      </c>
      <c r="B95">
        <v>1900</v>
      </c>
      <c r="C95">
        <v>53.160519999999998</v>
      </c>
    </row>
    <row r="96" spans="1:3" x14ac:dyDescent="0.25">
      <c r="A96" t="s">
        <v>6</v>
      </c>
      <c r="B96">
        <v>1905</v>
      </c>
      <c r="C96">
        <v>62.690359999999998</v>
      </c>
    </row>
    <row r="97" spans="1:3" x14ac:dyDescent="0.25">
      <c r="A97" t="s">
        <v>6</v>
      </c>
      <c r="B97">
        <v>1910</v>
      </c>
      <c r="C97">
        <v>78.588859999999997</v>
      </c>
    </row>
    <row r="98" spans="1:3" x14ac:dyDescent="0.25">
      <c r="A98" t="s">
        <v>6</v>
      </c>
      <c r="B98">
        <v>1915</v>
      </c>
      <c r="C98">
        <v>76.830690000000004</v>
      </c>
    </row>
    <row r="99" spans="1:3" x14ac:dyDescent="0.25">
      <c r="A99" t="s">
        <v>6</v>
      </c>
      <c r="B99">
        <v>1920</v>
      </c>
      <c r="C99">
        <v>81.366640000000004</v>
      </c>
    </row>
    <row r="100" spans="1:3" x14ac:dyDescent="0.25">
      <c r="A100" t="s">
        <v>6</v>
      </c>
      <c r="B100">
        <v>1925</v>
      </c>
      <c r="C100">
        <v>82.573179999999994</v>
      </c>
    </row>
    <row r="101" spans="1:3" x14ac:dyDescent="0.25">
      <c r="A101" t="s">
        <v>6</v>
      </c>
      <c r="B101">
        <v>1930</v>
      </c>
      <c r="C101">
        <v>83.153270000000006</v>
      </c>
    </row>
    <row r="102" spans="1:3" x14ac:dyDescent="0.25">
      <c r="A102" t="s">
        <v>6</v>
      </c>
      <c r="B102">
        <v>1935</v>
      </c>
      <c r="C102">
        <v>82.308160000000001</v>
      </c>
    </row>
    <row r="103" spans="1:3" x14ac:dyDescent="0.25">
      <c r="A103" t="s">
        <v>6</v>
      </c>
      <c r="B103">
        <v>1940</v>
      </c>
      <c r="C103">
        <v>82.047899999999998</v>
      </c>
    </row>
    <row r="104" spans="1:3" x14ac:dyDescent="0.25">
      <c r="A104" t="s">
        <v>6</v>
      </c>
      <c r="B104">
        <v>1945</v>
      </c>
      <c r="C104">
        <v>83.457319999999996</v>
      </c>
    </row>
    <row r="105" spans="1:3" x14ac:dyDescent="0.25">
      <c r="A105" t="s">
        <v>6</v>
      </c>
      <c r="B105">
        <v>1950</v>
      </c>
      <c r="C105">
        <v>85.353740000000002</v>
      </c>
    </row>
    <row r="106" spans="1:3" x14ac:dyDescent="0.25">
      <c r="A106" t="s">
        <v>6</v>
      </c>
      <c r="B106">
        <v>1955</v>
      </c>
      <c r="C106">
        <v>86.449089999999998</v>
      </c>
    </row>
    <row r="107" spans="1:3" x14ac:dyDescent="0.25">
      <c r="A107" t="s">
        <v>6</v>
      </c>
      <c r="B107">
        <v>1960</v>
      </c>
      <c r="C107">
        <v>87.431060000000002</v>
      </c>
    </row>
    <row r="108" spans="1:3" x14ac:dyDescent="0.25">
      <c r="A108" t="s">
        <v>6</v>
      </c>
      <c r="B108">
        <v>1965</v>
      </c>
      <c r="C108">
        <v>88.163510000000002</v>
      </c>
    </row>
    <row r="109" spans="1:3" x14ac:dyDescent="0.25">
      <c r="A109" t="s">
        <v>6</v>
      </c>
      <c r="B109">
        <v>1970</v>
      </c>
      <c r="C109">
        <v>89.914090000000002</v>
      </c>
    </row>
    <row r="110" spans="1:3" x14ac:dyDescent="0.25">
      <c r="A110" t="s">
        <v>6</v>
      </c>
      <c r="B110">
        <v>1975</v>
      </c>
      <c r="C110">
        <v>90.131370000000004</v>
      </c>
    </row>
    <row r="111" spans="1:3" x14ac:dyDescent="0.25">
      <c r="A111" t="s">
        <v>6</v>
      </c>
      <c r="B111">
        <v>1980</v>
      </c>
      <c r="C111">
        <v>91.875460000000004</v>
      </c>
    </row>
    <row r="112" spans="1:3" x14ac:dyDescent="0.25">
      <c r="A112" t="s">
        <v>6</v>
      </c>
      <c r="B112">
        <v>1985</v>
      </c>
      <c r="C112">
        <v>95.534099999999995</v>
      </c>
    </row>
    <row r="113" spans="1:3" x14ac:dyDescent="0.25">
      <c r="A113" t="s">
        <v>6</v>
      </c>
      <c r="B113">
        <v>1990</v>
      </c>
      <c r="C113">
        <v>98.410120000000006</v>
      </c>
    </row>
    <row r="114" spans="1:3" x14ac:dyDescent="0.25">
      <c r="A114" t="s">
        <v>6</v>
      </c>
      <c r="B114">
        <v>1995</v>
      </c>
      <c r="C114">
        <v>98.652720000000002</v>
      </c>
    </row>
    <row r="115" spans="1:3" x14ac:dyDescent="0.25">
      <c r="A115" t="s">
        <v>6</v>
      </c>
      <c r="B115">
        <v>2000</v>
      </c>
      <c r="C115">
        <v>99.120199999999997</v>
      </c>
    </row>
    <row r="116" spans="1:3" x14ac:dyDescent="0.25">
      <c r="A116" t="s">
        <v>6</v>
      </c>
      <c r="B116">
        <v>2005</v>
      </c>
      <c r="C116">
        <v>99.377840000000006</v>
      </c>
    </row>
    <row r="117" spans="1:3" x14ac:dyDescent="0.25">
      <c r="A117" t="s">
        <v>6</v>
      </c>
      <c r="B117">
        <v>2010</v>
      </c>
      <c r="C117">
        <v>101.27889999999999</v>
      </c>
    </row>
    <row r="118" spans="1:3" x14ac:dyDescent="0.25">
      <c r="A118" t="s">
        <v>7</v>
      </c>
      <c r="B118">
        <v>1870</v>
      </c>
      <c r="C118">
        <v>24.39404</v>
      </c>
    </row>
    <row r="119" spans="1:3" x14ac:dyDescent="0.25">
      <c r="A119" t="s">
        <v>7</v>
      </c>
      <c r="B119">
        <v>1875</v>
      </c>
      <c r="C119">
        <v>25.32704</v>
      </c>
    </row>
    <row r="120" spans="1:3" x14ac:dyDescent="0.25">
      <c r="A120" t="s">
        <v>7</v>
      </c>
      <c r="B120">
        <v>1880</v>
      </c>
      <c r="C120">
        <v>22.24614</v>
      </c>
    </row>
    <row r="121" spans="1:3" x14ac:dyDescent="0.25">
      <c r="A121" t="s">
        <v>7</v>
      </c>
      <c r="B121">
        <v>1885</v>
      </c>
      <c r="C121">
        <v>19.72015</v>
      </c>
    </row>
    <row r="122" spans="1:3" x14ac:dyDescent="0.25">
      <c r="A122" t="s">
        <v>7</v>
      </c>
      <c r="B122">
        <v>1890</v>
      </c>
      <c r="C122">
        <v>18.941469999999999</v>
      </c>
    </row>
    <row r="123" spans="1:3" x14ac:dyDescent="0.25">
      <c r="A123" t="s">
        <v>7</v>
      </c>
      <c r="B123">
        <v>1895</v>
      </c>
      <c r="C123">
        <v>18.33005</v>
      </c>
    </row>
    <row r="124" spans="1:3" x14ac:dyDescent="0.25">
      <c r="A124" t="s">
        <v>7</v>
      </c>
      <c r="B124">
        <v>1900</v>
      </c>
      <c r="C124">
        <v>29.652519999999999</v>
      </c>
    </row>
    <row r="125" spans="1:3" x14ac:dyDescent="0.25">
      <c r="A125" t="s">
        <v>7</v>
      </c>
      <c r="B125">
        <v>1905</v>
      </c>
      <c r="C125">
        <v>35.662840000000003</v>
      </c>
    </row>
    <row r="126" spans="1:3" x14ac:dyDescent="0.25">
      <c r="A126" t="s">
        <v>7</v>
      </c>
      <c r="B126">
        <v>1910</v>
      </c>
      <c r="C126">
        <v>37.67577</v>
      </c>
    </row>
    <row r="127" spans="1:3" x14ac:dyDescent="0.25">
      <c r="A127" t="s">
        <v>7</v>
      </c>
      <c r="B127">
        <v>1915</v>
      </c>
      <c r="C127">
        <v>35.227960000000003</v>
      </c>
    </row>
    <row r="128" spans="1:3" x14ac:dyDescent="0.25">
      <c r="A128" t="s">
        <v>7</v>
      </c>
      <c r="B128">
        <v>1920</v>
      </c>
      <c r="C128">
        <v>33.304169999999999</v>
      </c>
    </row>
    <row r="129" spans="1:3" x14ac:dyDescent="0.25">
      <c r="A129" t="s">
        <v>7</v>
      </c>
      <c r="B129">
        <v>1925</v>
      </c>
      <c r="C129">
        <v>33.733840000000001</v>
      </c>
    </row>
    <row r="130" spans="1:3" x14ac:dyDescent="0.25">
      <c r="A130" t="s">
        <v>7</v>
      </c>
      <c r="B130">
        <v>1930</v>
      </c>
      <c r="C130">
        <v>36.356990000000003</v>
      </c>
    </row>
    <row r="131" spans="1:3" x14ac:dyDescent="0.25">
      <c r="A131" t="s">
        <v>7</v>
      </c>
      <c r="B131">
        <v>1935</v>
      </c>
      <c r="C131">
        <v>37.293979999999998</v>
      </c>
    </row>
    <row r="132" spans="1:3" x14ac:dyDescent="0.25">
      <c r="A132" t="s">
        <v>7</v>
      </c>
      <c r="B132">
        <v>1940</v>
      </c>
      <c r="C132">
        <v>34.600070000000002</v>
      </c>
    </row>
    <row r="133" spans="1:3" x14ac:dyDescent="0.25">
      <c r="A133" t="s">
        <v>7</v>
      </c>
      <c r="B133">
        <v>1945</v>
      </c>
      <c r="C133">
        <v>33.977510000000002</v>
      </c>
    </row>
    <row r="134" spans="1:3" x14ac:dyDescent="0.25">
      <c r="A134" t="s">
        <v>7</v>
      </c>
      <c r="B134">
        <v>1950</v>
      </c>
      <c r="C134">
        <v>34.284889999999997</v>
      </c>
    </row>
    <row r="135" spans="1:3" x14ac:dyDescent="0.25">
      <c r="A135" t="s">
        <v>7</v>
      </c>
      <c r="B135">
        <v>1955</v>
      </c>
      <c r="C135">
        <v>35.162990000000001</v>
      </c>
    </row>
    <row r="136" spans="1:3" x14ac:dyDescent="0.25">
      <c r="A136" t="s">
        <v>7</v>
      </c>
      <c r="B136">
        <v>1960</v>
      </c>
      <c r="C136">
        <v>36.16919</v>
      </c>
    </row>
    <row r="137" spans="1:3" x14ac:dyDescent="0.25">
      <c r="A137" t="s">
        <v>7</v>
      </c>
      <c r="B137">
        <v>1965</v>
      </c>
      <c r="C137">
        <v>37.62162</v>
      </c>
    </row>
    <row r="138" spans="1:3" x14ac:dyDescent="0.25">
      <c r="A138" t="s">
        <v>7</v>
      </c>
      <c r="B138">
        <v>1970</v>
      </c>
      <c r="C138">
        <v>40.389870000000002</v>
      </c>
    </row>
    <row r="139" spans="1:3" x14ac:dyDescent="0.25">
      <c r="A139" t="s">
        <v>7</v>
      </c>
      <c r="B139">
        <v>1975</v>
      </c>
      <c r="C139">
        <v>47.03163</v>
      </c>
    </row>
    <row r="140" spans="1:3" x14ac:dyDescent="0.25">
      <c r="A140" t="s">
        <v>7</v>
      </c>
      <c r="B140">
        <v>1980</v>
      </c>
      <c r="C140">
        <v>51.597250000000003</v>
      </c>
    </row>
    <row r="141" spans="1:3" x14ac:dyDescent="0.25">
      <c r="A141" t="s">
        <v>7</v>
      </c>
      <c r="B141">
        <v>1985</v>
      </c>
      <c r="C141">
        <v>57.149299999999997</v>
      </c>
    </row>
    <row r="142" spans="1:3" x14ac:dyDescent="0.25">
      <c r="A142" t="s">
        <v>7</v>
      </c>
      <c r="B142">
        <v>1990</v>
      </c>
      <c r="C142">
        <v>63.344329999999999</v>
      </c>
    </row>
    <row r="143" spans="1:3" x14ac:dyDescent="0.25">
      <c r="A143" t="s">
        <v>7</v>
      </c>
      <c r="B143">
        <v>1995</v>
      </c>
      <c r="C143">
        <v>70.205619999999996</v>
      </c>
    </row>
    <row r="144" spans="1:3" x14ac:dyDescent="0.25">
      <c r="A144" t="s">
        <v>7</v>
      </c>
      <c r="B144">
        <v>2000</v>
      </c>
      <c r="C144">
        <v>76.517960000000002</v>
      </c>
    </row>
    <row r="145" spans="1:3" x14ac:dyDescent="0.25">
      <c r="A145" t="s">
        <v>7</v>
      </c>
      <c r="B145">
        <v>2005</v>
      </c>
      <c r="C145">
        <v>80.684449999999998</v>
      </c>
    </row>
    <row r="146" spans="1:3" x14ac:dyDescent="0.25">
      <c r="A146" t="s">
        <v>7</v>
      </c>
      <c r="B146">
        <v>2010</v>
      </c>
      <c r="C146">
        <v>87.495459999999994</v>
      </c>
    </row>
    <row r="147" spans="1:3" x14ac:dyDescent="0.25">
      <c r="A147" t="s">
        <v>8</v>
      </c>
      <c r="B147">
        <v>1870</v>
      </c>
      <c r="C147">
        <v>8.1167599999999993</v>
      </c>
    </row>
    <row r="148" spans="1:3" x14ac:dyDescent="0.25">
      <c r="A148" t="s">
        <v>8</v>
      </c>
      <c r="B148">
        <v>1875</v>
      </c>
      <c r="C148">
        <v>6.6462899999999996</v>
      </c>
    </row>
    <row r="149" spans="1:3" x14ac:dyDescent="0.25">
      <c r="A149" t="s">
        <v>8</v>
      </c>
      <c r="B149">
        <v>1880</v>
      </c>
      <c r="C149">
        <v>5.6458300000000001</v>
      </c>
    </row>
    <row r="150" spans="1:3" x14ac:dyDescent="0.25">
      <c r="A150" t="s">
        <v>8</v>
      </c>
      <c r="B150">
        <v>1885</v>
      </c>
      <c r="C150">
        <v>4.9067999999999996</v>
      </c>
    </row>
    <row r="151" spans="1:3" x14ac:dyDescent="0.25">
      <c r="A151" t="s">
        <v>8</v>
      </c>
      <c r="B151">
        <v>1890</v>
      </c>
      <c r="C151">
        <v>4.6525499999999997</v>
      </c>
    </row>
    <row r="152" spans="1:3" x14ac:dyDescent="0.25">
      <c r="A152" t="s">
        <v>8</v>
      </c>
      <c r="B152">
        <v>1895</v>
      </c>
      <c r="C152">
        <v>5.1005700000000003</v>
      </c>
    </row>
    <row r="153" spans="1:3" x14ac:dyDescent="0.25">
      <c r="A153" t="s">
        <v>8</v>
      </c>
      <c r="B153">
        <v>1900</v>
      </c>
      <c r="C153">
        <v>7.46943</v>
      </c>
    </row>
    <row r="154" spans="1:3" x14ac:dyDescent="0.25">
      <c r="A154" t="s">
        <v>8</v>
      </c>
      <c r="B154">
        <v>1905</v>
      </c>
      <c r="C154">
        <v>16.515180000000001</v>
      </c>
    </row>
    <row r="155" spans="1:3" x14ac:dyDescent="0.25">
      <c r="A155" t="s">
        <v>8</v>
      </c>
      <c r="B155">
        <v>1910</v>
      </c>
      <c r="C155">
        <v>24.142389999999999</v>
      </c>
    </row>
    <row r="156" spans="1:3" x14ac:dyDescent="0.25">
      <c r="A156" t="s">
        <v>8</v>
      </c>
      <c r="B156">
        <v>1915</v>
      </c>
      <c r="C156">
        <v>33.154420000000002</v>
      </c>
    </row>
    <row r="157" spans="1:3" x14ac:dyDescent="0.25">
      <c r="A157" t="s">
        <v>8</v>
      </c>
      <c r="B157">
        <v>1920</v>
      </c>
      <c r="C157">
        <v>40.435650000000003</v>
      </c>
    </row>
    <row r="158" spans="1:3" x14ac:dyDescent="0.25">
      <c r="A158" t="s">
        <v>8</v>
      </c>
      <c r="B158">
        <v>1925</v>
      </c>
      <c r="C158">
        <v>45.66019</v>
      </c>
    </row>
    <row r="159" spans="1:3" x14ac:dyDescent="0.25">
      <c r="A159" t="s">
        <v>8</v>
      </c>
      <c r="B159">
        <v>1930</v>
      </c>
      <c r="C159">
        <v>50.88</v>
      </c>
    </row>
    <row r="160" spans="1:3" x14ac:dyDescent="0.25">
      <c r="A160" t="s">
        <v>8</v>
      </c>
      <c r="B160">
        <v>1935</v>
      </c>
      <c r="C160">
        <v>55.99089</v>
      </c>
    </row>
    <row r="161" spans="1:3" x14ac:dyDescent="0.25">
      <c r="A161" t="s">
        <v>8</v>
      </c>
      <c r="B161">
        <v>1940</v>
      </c>
      <c r="C161">
        <v>58.414259999999999</v>
      </c>
    </row>
    <row r="162" spans="1:3" x14ac:dyDescent="0.25">
      <c r="A162" t="s">
        <v>8</v>
      </c>
      <c r="B162">
        <v>1945</v>
      </c>
      <c r="C162">
        <v>61.285159999999998</v>
      </c>
    </row>
    <row r="163" spans="1:3" x14ac:dyDescent="0.25">
      <c r="A163" t="s">
        <v>8</v>
      </c>
      <c r="B163">
        <v>1950</v>
      </c>
      <c r="C163">
        <v>60.460009999999997</v>
      </c>
    </row>
    <row r="164" spans="1:3" x14ac:dyDescent="0.25">
      <c r="A164" t="s">
        <v>8</v>
      </c>
      <c r="B164">
        <v>1955</v>
      </c>
      <c r="C164">
        <v>59.126199999999997</v>
      </c>
    </row>
    <row r="165" spans="1:3" x14ac:dyDescent="0.25">
      <c r="A165" t="s">
        <v>8</v>
      </c>
      <c r="B165">
        <v>1960</v>
      </c>
      <c r="C165">
        <v>58.042839999999998</v>
      </c>
    </row>
    <row r="166" spans="1:3" x14ac:dyDescent="0.25">
      <c r="A166" t="s">
        <v>8</v>
      </c>
      <c r="B166">
        <v>1965</v>
      </c>
      <c r="C166">
        <v>56.823149999999998</v>
      </c>
    </row>
    <row r="167" spans="1:3" x14ac:dyDescent="0.25">
      <c r="A167" t="s">
        <v>8</v>
      </c>
      <c r="B167">
        <v>1970</v>
      </c>
      <c r="C167">
        <v>58.323909999999998</v>
      </c>
    </row>
    <row r="168" spans="1:3" x14ac:dyDescent="0.25">
      <c r="A168" t="s">
        <v>8</v>
      </c>
      <c r="B168">
        <v>1975</v>
      </c>
      <c r="C168">
        <v>58.635159999999999</v>
      </c>
    </row>
    <row r="169" spans="1:3" x14ac:dyDescent="0.25">
      <c r="A169" t="s">
        <v>8</v>
      </c>
      <c r="B169">
        <v>1980</v>
      </c>
      <c r="C169">
        <v>59.219859999999997</v>
      </c>
    </row>
    <row r="170" spans="1:3" x14ac:dyDescent="0.25">
      <c r="A170" t="s">
        <v>8</v>
      </c>
      <c r="B170">
        <v>1985</v>
      </c>
      <c r="C170">
        <v>61.77805</v>
      </c>
    </row>
    <row r="171" spans="1:3" x14ac:dyDescent="0.25">
      <c r="A171" t="s">
        <v>8</v>
      </c>
      <c r="B171">
        <v>1990</v>
      </c>
      <c r="C171">
        <v>67.360830000000007</v>
      </c>
    </row>
    <row r="172" spans="1:3" x14ac:dyDescent="0.25">
      <c r="A172" t="s">
        <v>8</v>
      </c>
      <c r="B172">
        <v>1995</v>
      </c>
      <c r="C172">
        <v>72.229950000000002</v>
      </c>
    </row>
    <row r="173" spans="1:3" x14ac:dyDescent="0.25">
      <c r="A173" t="s">
        <v>8</v>
      </c>
      <c r="B173">
        <v>2000</v>
      </c>
      <c r="C173">
        <v>74.321089999999998</v>
      </c>
    </row>
    <row r="174" spans="1:3" x14ac:dyDescent="0.25">
      <c r="A174" t="s">
        <v>8</v>
      </c>
      <c r="B174">
        <v>2005</v>
      </c>
      <c r="C174">
        <v>77.870609999999999</v>
      </c>
    </row>
    <row r="175" spans="1:3" x14ac:dyDescent="0.25">
      <c r="A175" t="s">
        <v>8</v>
      </c>
      <c r="B175">
        <v>2010</v>
      </c>
      <c r="C175">
        <v>81.996229999999997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 Economies</vt:lpstr>
      <vt:lpstr>GenderRatios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Cutrone, Joseph</dc:creator>
  <cp:lastModifiedBy>Andrew</cp:lastModifiedBy>
  <dcterms:created xsi:type="dcterms:W3CDTF">2019-02-21T04:21:31Z</dcterms:created>
  <dcterms:modified xsi:type="dcterms:W3CDTF">2022-02-17T00:46:53Z</dcterms:modified>
</cp:coreProperties>
</file>